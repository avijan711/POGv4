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oeka\Downloads\"/>
    </mc:Choice>
  </mc:AlternateContent>
  <xr:revisionPtr revIDLastSave="0" documentId="13_ncr:1_{4B3BA18B-AD1F-4064-AC6B-F45C49863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PRPRI" localSheetId="0">Sheet1!#REF!</definedName>
    <definedName name="cvg.CUR" localSheetId="0">Sheet1!#REF!</definedName>
    <definedName name="cvg.DBPAADD" localSheetId="0">Sheet1!#REF!</definedName>
    <definedName name="cvg.DDAYLTI" localSheetId="0">Sheet1!#REF!</definedName>
    <definedName name="cvg.DISCRGVAL1" localSheetId="0">Sheet1!#REF!</definedName>
    <definedName name="cvg.DSPLINVOL" localSheetId="0">Sheet1!#REF!</definedName>
    <definedName name="cvg.DSPLINWEI" localSheetId="0">Sheet1!#REF!</definedName>
    <definedName name="cvg.DSPVOU" localSheetId="0">Sheet1!#REF!</definedName>
    <definedName name="cvg.DSPWEU" localSheetId="0">Sheet1!#REF!</definedName>
    <definedName name="cvg.DSTOFCY" localSheetId="0">Sheet1!#REF!</definedName>
    <definedName name="cvg.GROPRI" localSheetId="0">Sheet1!$G$3:$G$436</definedName>
    <definedName name="cvg.ITMDES" localSheetId="0">Sheet1!$C$3:$C$436</definedName>
    <definedName name="cvg.ITMREF" localSheetId="0">Sheet1!$B$3:$B$436</definedName>
    <definedName name="cvg.LINQUOATI" localSheetId="0">Sheet1!$H$3:$H$436</definedName>
    <definedName name="cvg.LINQUONOT" localSheetId="0">Sheet1!#REF!</definedName>
    <definedName name="cvg.NETPRI" localSheetId="0">Sheet1!#REF!</definedName>
    <definedName name="cvg.QTY" localSheetId="0">Sheet1!$F$3:$F$436</definedName>
    <definedName name="cvg.STU" localSheetId="0">Sheet1!#REF!</definedName>
    <definedName name="cvg.VACITM1" localSheetId="0">Sheet1!#REF!</definedName>
    <definedName name="cvg.VACITM2" localSheetId="0">Sheet1!#REF!</definedName>
    <definedName name="cvg.VACITM3" localSheetId="0">Sheet1!#REF!</definedName>
    <definedName name="cvg.YBPSNUM" localSheetId="0">Sheet1!#REF!</definedName>
    <definedName name="cvg.YCOEPVD" localSheetId="0">Sheet1!#REF!</definedName>
    <definedName name="cvg.YITMORIGIN" localSheetId="0">Sheet1!#REF!</definedName>
    <definedName name="cvg.YITMREFIMP" localSheetId="0">Sheet1!$A$3:$A$436</definedName>
    <definedName name="cvg.YPFMNET" localSheetId="0">Sheet1!#REF!</definedName>
    <definedName name="cvg.YPPLI" localSheetId="0">Sheet1!#REF!</definedName>
    <definedName name="cvg.YPRIACH" localSheetId="0">Sheet1!#REF!</definedName>
    <definedName name="cvg.YQTEDEM" localSheetId="0">Sheet1!$E$3:$E$436</definedName>
    <definedName name="cvg.YSTKPROJ" localSheetId="0">Sheet1!#REF!</definedName>
    <definedName name="cvg.YTXPFMNET" localSheetId="0">Sheet1!#REF!</definedName>
    <definedName name="cvg.ZAJUSTEMENT" localSheetId="0">Sheet1!#REF!</definedName>
    <definedName name="cvg.ZCTRLTRACKER" localSheetId="0">Sheet1!#REF!</definedName>
    <definedName name="cvg.ZDERNETPRIC" localSheetId="0">Sheet1!#REF!</definedName>
    <definedName name="cvg.ZDERNETPRIP" localSheetId="0">Sheet1!#REF!</definedName>
    <definedName name="cvg.ZDSPVOU" localSheetId="0">Sheet1!#REF!</definedName>
    <definedName name="cvg.ZDSPWEU" localSheetId="0">Sheet1!#REF!</definedName>
    <definedName name="cvg.ZITMSTA" localSheetId="0">Sheet1!$D$3:$D$436</definedName>
    <definedName name="cvg.ZLIGCMTVEN" localSheetId="0">Sheet1!#REF!</definedName>
    <definedName name="cvg.ZMARQUE" localSheetId="0">Sheet1!#REF!</definedName>
    <definedName name="cvg.ZPMP" localSheetId="0">Sheet1!#REF!</definedName>
    <definedName name="cvg.ZQTYCDECM" localSheetId="0">Sheet1!#REF!</definedName>
    <definedName name="cvg.ZQTYCDENLE" localSheetId="0">Sheet1!#REF!</definedName>
    <definedName name="cvg.ZQTYCDERAL" localSheetId="0">Sheet1!#REF!</definedName>
    <definedName name="cvg.ZQTYCDETOT" localSheetId="0">Sheet1!#REF!</definedName>
    <definedName name="cvg.ZQTYETUDE" localSheetId="0">Sheet1!#REF!</definedName>
    <definedName name="cvg.ZREGULATION" localSheetId="0">Sheet1!#REF!</definedName>
    <definedName name="cvg.ZSTKDSP" localSheetId="0">Sheet1!#REF!</definedName>
    <definedName name="cvg.ZTSICOD" localSheetId="0">Sheet1!#REF!</definedName>
    <definedName name="cvg.ZTSICOD2" localSheetId="0">Sheet1!#REF!</definedName>
    <definedName name="cvg.ZZMARQUE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0" i="1" l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31" i="1"/>
  <c r="H132" i="1"/>
  <c r="H133" i="1"/>
  <c r="H134" i="1"/>
  <c r="H135" i="1"/>
  <c r="H136" i="1"/>
  <c r="H137" i="1"/>
  <c r="H138" i="1"/>
  <c r="H139" i="1"/>
  <c r="H141" i="1"/>
  <c r="H142" i="1"/>
  <c r="H143" i="1"/>
  <c r="H144" i="1"/>
  <c r="H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26" i="1"/>
  <c r="H427" i="1"/>
  <c r="H428" i="1"/>
  <c r="H429" i="1"/>
  <c r="H430" i="1"/>
  <c r="H431" i="1"/>
  <c r="H432" i="1"/>
  <c r="H433" i="1"/>
  <c r="H434" i="1"/>
  <c r="H435" i="1"/>
  <c r="H436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4" i="1"/>
  <c r="H5" i="1"/>
  <c r="H6" i="1"/>
  <c r="H7" i="1"/>
  <c r="H8" i="1"/>
  <c r="H9" i="1"/>
  <c r="H10" i="1"/>
  <c r="H11" i="1"/>
  <c r="H3" i="1"/>
  <c r="H437" i="1" l="1"/>
</calcChain>
</file>

<file path=xl/sharedStrings.xml><?xml version="1.0" encoding="utf-8"?>
<sst xmlns="http://schemas.openxmlformats.org/spreadsheetml/2006/main" count="1314" uniqueCount="713">
  <si>
    <t/>
  </si>
  <si>
    <t>CRANKSHAFT SEAL</t>
  </si>
  <si>
    <t>CYLINDER HEAD GASKET</t>
  </si>
  <si>
    <t>CYLINDER HEAD COVER</t>
  </si>
  <si>
    <t>LUBRICATION UNION BOLT SEAL</t>
  </si>
  <si>
    <t>TIMING CHAIN</t>
  </si>
  <si>
    <t>TIMING TENSIONER</t>
  </si>
  <si>
    <t>OIL FILTER COVER</t>
  </si>
  <si>
    <t>OIL FILTER</t>
  </si>
  <si>
    <t>TURBO LUBE</t>
  </si>
  <si>
    <t>FRICTION WHEEL</t>
  </si>
  <si>
    <t>DAMPER</t>
  </si>
  <si>
    <t>HOSE</t>
  </si>
  <si>
    <t>ENGINE COOLANT UNION</t>
  </si>
  <si>
    <t>RADIATOR DRAIN CAP</t>
  </si>
  <si>
    <t>RADIATOR OUTLET HOSE</t>
  </si>
  <si>
    <t>RADIATOR DEGASSING WATER PIPE</t>
  </si>
  <si>
    <t>HUB COVER</t>
  </si>
  <si>
    <t>INSULATOR</t>
  </si>
  <si>
    <t>INSERT</t>
  </si>
  <si>
    <t>GRILLE</t>
  </si>
  <si>
    <t>PANEL</t>
  </si>
  <si>
    <t>MOULDING</t>
  </si>
  <si>
    <t>GUIDE</t>
  </si>
  <si>
    <t>ENGINE WATER INTAKE TANK</t>
  </si>
  <si>
    <t>PUMP FUEL</t>
  </si>
  <si>
    <t>WATER TEMPERATURE SENSOR</t>
  </si>
  <si>
    <t>O-RING</t>
  </si>
  <si>
    <t>W/STRIP</t>
  </si>
  <si>
    <t>SENSOR</t>
  </si>
  <si>
    <t>GAUGE</t>
  </si>
  <si>
    <t>HORN</t>
  </si>
  <si>
    <t>DOOR ENTRY SEAL</t>
  </si>
  <si>
    <t>FILLER PIPE JOINT</t>
  </si>
  <si>
    <t>SLEEVE</t>
  </si>
  <si>
    <t>FUEL FILLER CAP</t>
  </si>
  <si>
    <t>MIRROR COVERS ALLIAGE</t>
  </si>
  <si>
    <t>ROTATING SWITCH</t>
  </si>
  <si>
    <t>GEAR LEVER KNOB</t>
  </si>
  <si>
    <t>TAILGATE EXTERIOR PANEL</t>
  </si>
  <si>
    <t>PASSENGER CMPT CARBON FILTER</t>
  </si>
  <si>
    <t>REAR BUMPER SKIRT</t>
  </si>
  <si>
    <t>BUMPER SUPPORT SET</t>
  </si>
  <si>
    <t>SCREENWASH PUMP</t>
  </si>
  <si>
    <t>CYLINDER HOUSING GASKET PLATE</t>
  </si>
  <si>
    <t>DYNAMIC TENSIONER ROLLER</t>
  </si>
  <si>
    <t>ENGINE CLUTCH MECHANISM</t>
  </si>
  <si>
    <t>BUMPER FRAME</t>
  </si>
  <si>
    <t>AERIAL BASE</t>
  </si>
  <si>
    <t>FRONT BUMPER</t>
  </si>
  <si>
    <t>REFRIGERANT PIPE</t>
  </si>
  <si>
    <t>DISTR.CHAMBER TURBO AIR UNION</t>
  </si>
  <si>
    <t>PRO CLUTCH KIT</t>
  </si>
  <si>
    <t>REAR BUMPER</t>
  </si>
  <si>
    <t>WINDOW WIPER BLADE-HOLDER</t>
  </si>
  <si>
    <t>REAR VIEW MIRROR GLASS</t>
  </si>
  <si>
    <t>FRONT HALF-PANEL</t>
  </si>
  <si>
    <t>FRONT BUMPER TRIM</t>
  </si>
  <si>
    <t>WIDENER REAR WING</t>
  </si>
  <si>
    <t>PROXIMITY SENSOR SUPPORT ASSBY</t>
  </si>
  <si>
    <t>ANCILLARY BELT ROLLER KIT</t>
  </si>
  <si>
    <t>STEERING ROD BALL JOINT KIT</t>
  </si>
  <si>
    <t>REAR WING PROTECTOR</t>
  </si>
  <si>
    <t>COOLING LIQUID</t>
  </si>
  <si>
    <t>REAR WINDOW WIPER BLADE</t>
  </si>
  <si>
    <t>BUMPER TRIM ASSEMBLY</t>
  </si>
  <si>
    <t>SET OF 4 FRONT BRAKE PADS</t>
  </si>
  <si>
    <t>AIR CONDITIONING CONDENSER</t>
  </si>
  <si>
    <t>GEARBOX LIP SEAL</t>
  </si>
  <si>
    <t>BRAKE HOSE</t>
  </si>
  <si>
    <t>GAUGE WITH PUMP</t>
  </si>
  <si>
    <t>HEADLAMP REPAIR BRACKET KIT</t>
  </si>
  <si>
    <t>CRANKSHAFT PULLEY SCREW</t>
  </si>
  <si>
    <t>CYLINDER HOUSING PLUG SEAL</t>
  </si>
  <si>
    <t>COOLANT PUMP + TIMING KIT</t>
  </si>
  <si>
    <t>BOUCHON</t>
  </si>
  <si>
    <t>UNDER-BODY</t>
  </si>
  <si>
    <t>FRONT BUMPER GRILLE</t>
  </si>
  <si>
    <t>FRONT SKIRT</t>
  </si>
  <si>
    <t>DOOR PROTECTOR</t>
  </si>
  <si>
    <t>CDE GLASS</t>
  </si>
  <si>
    <t>REAR BALL-HITCH REPAIR KIT</t>
  </si>
  <si>
    <t>FRONT WING</t>
  </si>
  <si>
    <t>HEADLAMP SEAL ASSEMBLY</t>
  </si>
  <si>
    <t>WHEEL ABS SENSOR</t>
  </si>
  <si>
    <t>EXIT NOZZLE-EXHAUST</t>
  </si>
  <si>
    <t>VISUAL ASSISTANCE CAMERA SUPP</t>
  </si>
  <si>
    <t>REAR BUMPER TRIM</t>
  </si>
  <si>
    <t>VALVE CONTROL ROCKER</t>
  </si>
  <si>
    <t>COLLIER</t>
  </si>
  <si>
    <t>ENGINE FLEXIBLE MOUNTING</t>
  </si>
  <si>
    <t>DIESEL HP SENSOR</t>
  </si>
  <si>
    <t>CLUTCH SLAVE CYLINDER</t>
  </si>
  <si>
    <t>AUTOMATIC GEARBOX O-RING SEAL</t>
  </si>
  <si>
    <t>GEAR CONTROL LEVER</t>
  </si>
  <si>
    <t>PIPE</t>
  </si>
  <si>
    <t>COVER</t>
  </si>
  <si>
    <t>HEADLAMP</t>
  </si>
  <si>
    <t>HOUSING</t>
  </si>
  <si>
    <t>BEZEL</t>
  </si>
  <si>
    <t>PROTECTOR</t>
  </si>
  <si>
    <t>STEERING LOW PRESSURE PIPE</t>
  </si>
  <si>
    <t>STEERING RAM MOUNTING</t>
  </si>
  <si>
    <t>LAMP</t>
  </si>
  <si>
    <t>ABR SENSOR</t>
  </si>
  <si>
    <t>MECHANICAL VACUUM PUMP</t>
  </si>
  <si>
    <t>BRAKE VACUUM UNION</t>
  </si>
  <si>
    <t>BRAKE FLUID RESERVOIR</t>
  </si>
  <si>
    <t>BRAKE RESERVOIR CAP</t>
  </si>
  <si>
    <t>SECONDARY BRAKE CABLE</t>
  </si>
  <si>
    <t>FRONT SHOCK ABSORBER MOUNTING</t>
  </si>
  <si>
    <t>GASKET</t>
  </si>
  <si>
    <t>THERMOSTAT</t>
  </si>
  <si>
    <t>CLAMP</t>
  </si>
  <si>
    <t>SEAL</t>
  </si>
  <si>
    <t>ENGINE KNOCK DETECTOR</t>
  </si>
  <si>
    <t>PRE-HEAT GLOW PLUG</t>
  </si>
  <si>
    <t>ENGINE SPARK-PLUG</t>
  </si>
  <si>
    <t>AERIAL</t>
  </si>
  <si>
    <t>HEADLAMP ASSEMBLY</t>
  </si>
  <si>
    <t>SIDE FLASH-UNIT</t>
  </si>
  <si>
    <t>REAR LAMP</t>
  </si>
  <si>
    <t>FRONT WINDOW WIPER MOTOR</t>
  </si>
  <si>
    <t>SCREENWASH JET</t>
  </si>
  <si>
    <t>HEATER MOTOR CONTROL MODULE</t>
  </si>
  <si>
    <t>PSNGR CMPRTMNT PARTICLE FILTER</t>
  </si>
  <si>
    <t>AIR CONDITIONING CONTROL</t>
  </si>
  <si>
    <t>HEATER WATER PIPE</t>
  </si>
  <si>
    <t>ELECTRIC RELAY</t>
  </si>
  <si>
    <t>FUSE BOX COVER</t>
  </si>
  <si>
    <t>FALSE FLOOR ACCESS HATCH</t>
  </si>
  <si>
    <t>LUGGAGE BAR COVER ASSEMBLY</t>
  </si>
  <si>
    <t>SIDE DOOR PROTECTOR</t>
  </si>
  <si>
    <t>BADGE</t>
  </si>
  <si>
    <t>REAR DOOR HINGE TRIM</t>
  </si>
  <si>
    <t>DOOR CARRIAGE</t>
  </si>
  <si>
    <t>DOOR HANDLE</t>
  </si>
  <si>
    <t>INJECTOR SEAL</t>
  </si>
  <si>
    <t>DOOR REMOTE CONTROL</t>
  </si>
  <si>
    <t>HINGED DOOR OPENING INT CNTRL</t>
  </si>
  <si>
    <t>SIDE DOOR CONTROL</t>
  </si>
  <si>
    <t>DOOR LOCK STRIKER</t>
  </si>
  <si>
    <t>(MKT) OIL</t>
  </si>
  <si>
    <t>KIT PADS</t>
  </si>
  <si>
    <t>HARNESS</t>
  </si>
  <si>
    <t>CYLINDER HEAD DEGASSING PIPE</t>
  </si>
  <si>
    <t>ENGINE OIL PRESSURE SWITCH</t>
  </si>
  <si>
    <t>AIR INLET GRILLE TRIM</t>
  </si>
  <si>
    <t>OUTLET HOSE</t>
  </si>
  <si>
    <t>CONTACT SWITCH</t>
  </si>
  <si>
    <t>PROTECTION AND MANAGEMENT UNIT</t>
  </si>
  <si>
    <t>ENGINE OIL FILLER PLUG</t>
  </si>
  <si>
    <t>ENGINE OIL GAUGE</t>
  </si>
  <si>
    <t>AIR PULLER</t>
  </si>
  <si>
    <t>RADIATOR WATER INLET HOSE</t>
  </si>
  <si>
    <t>SPARE WHEEL SUPP FIXING BOLT</t>
  </si>
  <si>
    <t>SCREENWASH FILLER PIPE</t>
  </si>
  <si>
    <t>ENGINE WATER DEGASSING TANK</t>
  </si>
  <si>
    <t>FRONT DRIVESHAFT BEARING</t>
  </si>
  <si>
    <t>BUMPER ABSORBER</t>
  </si>
  <si>
    <t>ENGINE MOTOR-DRIVEN FAN</t>
  </si>
  <si>
    <t>AIR FILTER</t>
  </si>
  <si>
    <t>ANTI-TORQUE LINK</t>
  </si>
  <si>
    <t>LIGHT ALLOY WHEEL</t>
  </si>
  <si>
    <t>FRONT WING SUPPORT</t>
  </si>
  <si>
    <t>INTERCOOLER ASSEMBLY BRACKET</t>
  </si>
  <si>
    <t>ENGINE OIL-WATER DISTRIB CHAMB</t>
  </si>
  <si>
    <t>FRONT SUSPENSION DAMPER</t>
  </si>
  <si>
    <t>BATTERY CHARGE STATUS UNIT</t>
  </si>
  <si>
    <t>DISTRIB.CHAMBER SIDE AIR UNION</t>
  </si>
  <si>
    <t>EXPANSION BOTTLE COOLANT UNION</t>
  </si>
  <si>
    <t>NEW DRIVESHAFT</t>
  </si>
  <si>
    <t>AGBX OIL/COOLANT EXCHANGER</t>
  </si>
  <si>
    <t>EMISSION CONTROL MODULE</t>
  </si>
  <si>
    <t>DOOR LOCK</t>
  </si>
  <si>
    <t>ENGINE IGNITION COIL</t>
  </si>
  <si>
    <t>OIL VAPOR REMOVER</t>
  </si>
  <si>
    <t>THRUST SUPPORT PLATE</t>
  </si>
  <si>
    <t>EXHAUST SYSTEM FIXING CLAMP</t>
  </si>
  <si>
    <t>EXHAUST FLEXIBLE MOUNTING</t>
  </si>
  <si>
    <t>ENGINE TIMING GEAR</t>
  </si>
  <si>
    <t>WINDOW CHANNEL</t>
  </si>
  <si>
    <t>REAR DOOR FRONT TRIM</t>
  </si>
  <si>
    <t>BUMPER FIXING STRENGTHENER</t>
  </si>
  <si>
    <t>DOOR REAR TRIM</t>
  </si>
  <si>
    <t>REAR FOGLAMP</t>
  </si>
  <si>
    <t>BUMPER ABSORBER STIFFENER</t>
  </si>
  <si>
    <t>TURBO AIR INTAKE PIPE</t>
  </si>
  <si>
    <t>EXH GAS RECIRCULATION SOL VLV</t>
  </si>
  <si>
    <t>TIMING CONTROL SOLENOID VALVE</t>
  </si>
  <si>
    <t>ENGINE WATER OUTLET TANK</t>
  </si>
  <si>
    <t>DECLUTCHING CONTROL PIPE</t>
  </si>
  <si>
    <t>WINDOW WASHER PIPE</t>
  </si>
  <si>
    <t>HINGED REAR DOOR TRIM</t>
  </si>
  <si>
    <t>FRONT PANEL CROSSMEMBER</t>
  </si>
  <si>
    <t>SUPPORT PLATE</t>
  </si>
  <si>
    <t>TAILGATE LOCK</t>
  </si>
  <si>
    <t>REAR BUMPER BRACKET</t>
  </si>
  <si>
    <t>PEF ADDITIVE RESERVOIR</t>
  </si>
  <si>
    <t>WINDOW CONTROL</t>
  </si>
  <si>
    <t>REAR WING MOULDING</t>
  </si>
  <si>
    <t>FRONT DOOR</t>
  </si>
  <si>
    <t>AIR DEFLECTOR UNDER ENGINE</t>
  </si>
  <si>
    <t>FILTER CARTRIDGE</t>
  </si>
  <si>
    <t>FRONT LAMP</t>
  </si>
  <si>
    <t>CLUTCH DUAL FLYWHEEL</t>
  </si>
  <si>
    <t>EXHAUST GAS WATER EXCHANGER</t>
  </si>
  <si>
    <t>NITROGEN OXIDE SENSOR</t>
  </si>
  <si>
    <t>WINDOW HINGE</t>
  </si>
  <si>
    <t>TRAVERSE AV ASS</t>
  </si>
  <si>
    <t>ENGINE OIL SUMP</t>
  </si>
  <si>
    <t>FRONT WHEEL HUB</t>
  </si>
  <si>
    <t>SPARE WHEEL SUPPORT HOOK</t>
  </si>
  <si>
    <t>BONNET HINGE</t>
  </si>
  <si>
    <t>PUMP FILTER RETURN PIPE</t>
  </si>
  <si>
    <t>FILTER CARTRIDGE BRACKET</t>
  </si>
  <si>
    <t>ENGINE OIL GAUGE GUIDE</t>
  </si>
  <si>
    <t>DRIP MOULDING</t>
  </si>
  <si>
    <t>FRONT WING MOULDING</t>
  </si>
  <si>
    <t>BONNET</t>
  </si>
  <si>
    <t>FUEL FILLER FLAP</t>
  </si>
  <si>
    <t>FRAME TRIM</t>
  </si>
  <si>
    <t>BONNET SOUND PROOFING</t>
  </si>
  <si>
    <t>MANUAL BONNET CONTROL</t>
  </si>
  <si>
    <t>AUTOM GEAR-BOX SEAL</t>
  </si>
  <si>
    <t>BODY SIDE TRIM</t>
  </si>
  <si>
    <t>ENGINE CAMSHAFT</t>
  </si>
  <si>
    <t>CAMSHAFT BEARING HOUSING ASSBY</t>
  </si>
  <si>
    <t>COMPLETE HEADLAMP</t>
  </si>
  <si>
    <t>PYROTECHNIC FRONT AIRBAG</t>
  </si>
  <si>
    <t>SEAT BELT BUCKLE STRAP</t>
  </si>
  <si>
    <t>REAR DOOR</t>
  </si>
  <si>
    <t>HINGED REAR DOOR LOCK</t>
  </si>
  <si>
    <t>TURBO SOLENOID VALVE</t>
  </si>
  <si>
    <t>UREA RESERVOIR</t>
  </si>
  <si>
    <t>TURBO LUBRICATION PIPE</t>
  </si>
  <si>
    <t>EGR VALVE</t>
  </si>
  <si>
    <t>FRONT ANTI-ROLL BAR</t>
  </si>
  <si>
    <t>VACUUM PUMP SEAL</t>
  </si>
  <si>
    <t>FRONT LEFT-HAND LAMP</t>
  </si>
  <si>
    <t>TURBO COOLING UNION</t>
  </si>
  <si>
    <t>COOLANT PUMP</t>
  </si>
  <si>
    <t>DOOR</t>
  </si>
  <si>
    <t>BARE HEADLAMP</t>
  </si>
  <si>
    <t>LICENSE PLATE BRACKET</t>
  </si>
  <si>
    <t>PRYOTECH STEER WHEEL CUSHION</t>
  </si>
  <si>
    <t>TAILGATE STRUT</t>
  </si>
  <si>
    <t>COOL AIR ANTI-RECYCL PARTITION</t>
  </si>
  <si>
    <t>MULTIFUNCTION CONTROL UNIT</t>
  </si>
  <si>
    <t>DEFLECTOR UNDER FRONT FLOOR</t>
  </si>
  <si>
    <t>HEATER AIR PULLER</t>
  </si>
  <si>
    <t>TAILGATE SEAL</t>
  </si>
  <si>
    <t>WHEEL HOUSING MUDGUARD</t>
  </si>
  <si>
    <t>EXTERIOR MIRROR</t>
  </si>
  <si>
    <t>ELECTRIC WINDOW CONTROL SWITCH</t>
  </si>
  <si>
    <t>FOGLAMP</t>
  </si>
  <si>
    <t>CRANKSHAFT PULLEY</t>
  </si>
  <si>
    <t>STONE GUARD GRILLE</t>
  </si>
  <si>
    <t>FRONT WING MUDFLAP FRAME</t>
  </si>
  <si>
    <t>FRONT BUMPER BRACKET</t>
  </si>
  <si>
    <t>WING PROTECTOR</t>
  </si>
  <si>
    <t>WISHBONE FRONT</t>
  </si>
  <si>
    <t>012747</t>
  </si>
  <si>
    <t>0209JS</t>
  </si>
  <si>
    <t>0248P6</t>
  </si>
  <si>
    <t>0248R6</t>
  </si>
  <si>
    <t>037989</t>
  </si>
  <si>
    <t>0816F6</t>
  </si>
  <si>
    <t>084930</t>
  </si>
  <si>
    <t>1103P8</t>
  </si>
  <si>
    <t>1109AL</t>
  </si>
  <si>
    <t>116438</t>
  </si>
  <si>
    <t>120455</t>
  </si>
  <si>
    <t>13130739</t>
  </si>
  <si>
    <t>13170118</t>
  </si>
  <si>
    <t>1323GJ</t>
  </si>
  <si>
    <t>1323V3</t>
  </si>
  <si>
    <t>1323V8</t>
  </si>
  <si>
    <t>1323Z9</t>
  </si>
  <si>
    <t>13265184</t>
  </si>
  <si>
    <t>13281782</t>
  </si>
  <si>
    <t>13281784</t>
  </si>
  <si>
    <t>13291779</t>
  </si>
  <si>
    <t>13355301</t>
  </si>
  <si>
    <t>13355598</t>
  </si>
  <si>
    <t>13356473</t>
  </si>
  <si>
    <t>13368077</t>
  </si>
  <si>
    <t>13368873</t>
  </si>
  <si>
    <t>1336AW</t>
  </si>
  <si>
    <t>13372982</t>
  </si>
  <si>
    <t>1338C1</t>
  </si>
  <si>
    <t>13391568</t>
  </si>
  <si>
    <t>134087</t>
  </si>
  <si>
    <t>1341K4</t>
  </si>
  <si>
    <t>13431176</t>
  </si>
  <si>
    <t>13431203</t>
  </si>
  <si>
    <t>13431204</t>
  </si>
  <si>
    <t>13460785</t>
  </si>
  <si>
    <t>13470637</t>
  </si>
  <si>
    <t>13471217</t>
  </si>
  <si>
    <t>13479898</t>
  </si>
  <si>
    <t>13495490</t>
  </si>
  <si>
    <t>13495491</t>
  </si>
  <si>
    <t>1440296180</t>
  </si>
  <si>
    <t>1505VR</t>
  </si>
  <si>
    <t>1505ZZ</t>
  </si>
  <si>
    <t>1508N7</t>
  </si>
  <si>
    <t>16081117VD</t>
  </si>
  <si>
    <t>1608364080</t>
  </si>
  <si>
    <t>16088722ZD</t>
  </si>
  <si>
    <t>1609404380</t>
  </si>
  <si>
    <t>1609428180</t>
  </si>
  <si>
    <t>1609631280</t>
  </si>
  <si>
    <t>1609631380</t>
  </si>
  <si>
    <t>1609633280</t>
  </si>
  <si>
    <t>1609930380</t>
  </si>
  <si>
    <t>1610116580</t>
  </si>
  <si>
    <t>1611187480</t>
  </si>
  <si>
    <t>1611425380</t>
  </si>
  <si>
    <t>1611549380</t>
  </si>
  <si>
    <t>1611707180</t>
  </si>
  <si>
    <t>1612186380</t>
  </si>
  <si>
    <t>1613479080</t>
  </si>
  <si>
    <t>1614007080</t>
  </si>
  <si>
    <t>1614084380</t>
  </si>
  <si>
    <t>1614085980</t>
  </si>
  <si>
    <t>1614191080</t>
  </si>
  <si>
    <t>1614328280</t>
  </si>
  <si>
    <t>1616434080</t>
  </si>
  <si>
    <t>1616869280</t>
  </si>
  <si>
    <t>1617418280</t>
  </si>
  <si>
    <t>1617536780</t>
  </si>
  <si>
    <t>1617598680</t>
  </si>
  <si>
    <t>1617973480</t>
  </si>
  <si>
    <t>1618031080</t>
  </si>
  <si>
    <t>1618083080</t>
  </si>
  <si>
    <t>1631627680</t>
  </si>
  <si>
    <t>1631627780</t>
  </si>
  <si>
    <t>1632645780</t>
  </si>
  <si>
    <t>1636403780</t>
  </si>
  <si>
    <t>1637184980</t>
  </si>
  <si>
    <t>1637280680</t>
  </si>
  <si>
    <t>1637280780</t>
  </si>
  <si>
    <t>1637296180</t>
  </si>
  <si>
    <t>1637756480</t>
  </si>
  <si>
    <t>1638041280</t>
  </si>
  <si>
    <t>1638435580</t>
  </si>
  <si>
    <t>1638495480</t>
  </si>
  <si>
    <t>1638495580</t>
  </si>
  <si>
    <t>1638953680</t>
  </si>
  <si>
    <t>1647863580</t>
  </si>
  <si>
    <t>1647880280</t>
  </si>
  <si>
    <t>1649789180</t>
  </si>
  <si>
    <t>1671938680</t>
  </si>
  <si>
    <t>1673602580</t>
  </si>
  <si>
    <t>1674217280</t>
  </si>
  <si>
    <t>1677841180</t>
  </si>
  <si>
    <t>1680410680</t>
  </si>
  <si>
    <t>1680682480</t>
  </si>
  <si>
    <t>1682800780</t>
  </si>
  <si>
    <t>1682801480</t>
  </si>
  <si>
    <t>1684448280</t>
  </si>
  <si>
    <t>1684449680</t>
  </si>
  <si>
    <t>1685067280</t>
  </si>
  <si>
    <t>1685068580</t>
  </si>
  <si>
    <t>16853219XT</t>
  </si>
  <si>
    <t>16853225XT</t>
  </si>
  <si>
    <t>1685339580</t>
  </si>
  <si>
    <t>1685551380</t>
  </si>
  <si>
    <t>168622221T</t>
  </si>
  <si>
    <t>1686625380</t>
  </si>
  <si>
    <t>1687141480</t>
  </si>
  <si>
    <t>1687835680</t>
  </si>
  <si>
    <t>1688055680</t>
  </si>
  <si>
    <t>1688334480</t>
  </si>
  <si>
    <t>16883349XT</t>
  </si>
  <si>
    <t>1688335080</t>
  </si>
  <si>
    <t>16885347XT</t>
  </si>
  <si>
    <t>168853481T</t>
  </si>
  <si>
    <t>1688580180</t>
  </si>
  <si>
    <t>1688580280</t>
  </si>
  <si>
    <t>16886592XT</t>
  </si>
  <si>
    <t>168909461T</t>
  </si>
  <si>
    <t>168909489V</t>
  </si>
  <si>
    <t>169026959V</t>
  </si>
  <si>
    <t>1692287080</t>
  </si>
  <si>
    <t>1692647380</t>
  </si>
  <si>
    <t>182738</t>
  </si>
  <si>
    <t>1920GW</t>
  </si>
  <si>
    <t>2182E0</t>
  </si>
  <si>
    <t>231254</t>
  </si>
  <si>
    <t>2400EG</t>
  </si>
  <si>
    <t>25193343</t>
  </si>
  <si>
    <t>25980563</t>
  </si>
  <si>
    <t>39015502</t>
  </si>
  <si>
    <t>39090647</t>
  </si>
  <si>
    <t>39099481</t>
  </si>
  <si>
    <t>39115547</t>
  </si>
  <si>
    <t>401238</t>
  </si>
  <si>
    <t>405907</t>
  </si>
  <si>
    <t>42543356</t>
  </si>
  <si>
    <t>42599461</t>
  </si>
  <si>
    <t>4545E1</t>
  </si>
  <si>
    <t>4545E7</t>
  </si>
  <si>
    <t>4545L0</t>
  </si>
  <si>
    <t>456583</t>
  </si>
  <si>
    <t>4578E6</t>
  </si>
  <si>
    <t>4635F7</t>
  </si>
  <si>
    <t>464336</t>
  </si>
  <si>
    <t>474621</t>
  </si>
  <si>
    <t>5031F2</t>
  </si>
  <si>
    <t>55355602</t>
  </si>
  <si>
    <t>55493557</t>
  </si>
  <si>
    <t>55565348</t>
  </si>
  <si>
    <t>55565351</t>
  </si>
  <si>
    <t>55568539</t>
  </si>
  <si>
    <t>55568540</t>
  </si>
  <si>
    <t>55598682</t>
  </si>
  <si>
    <t>594631</t>
  </si>
  <si>
    <t>5960K6</t>
  </si>
  <si>
    <t>5960L2</t>
  </si>
  <si>
    <t>1654517280</t>
  </si>
  <si>
    <t>6160C0</t>
  </si>
  <si>
    <t>6206N5</t>
  </si>
  <si>
    <t>6325G3</t>
  </si>
  <si>
    <t>6350GL</t>
  </si>
  <si>
    <t>6405HT</t>
  </si>
  <si>
    <t>6405V2</t>
  </si>
  <si>
    <t>6405W3</t>
  </si>
  <si>
    <t>6438AV</t>
  </si>
  <si>
    <t>6438Y3</t>
  </si>
  <si>
    <t>6441V8</t>
  </si>
  <si>
    <t>6447XF</t>
  </si>
  <si>
    <t>6452K8</t>
  </si>
  <si>
    <t>6466FK</t>
  </si>
  <si>
    <t>6466FL</t>
  </si>
  <si>
    <t>6466YG</t>
  </si>
  <si>
    <t>6477Q0</t>
  </si>
  <si>
    <t>6545XF</t>
  </si>
  <si>
    <t>6580AS</t>
  </si>
  <si>
    <t>7416X6</t>
  </si>
  <si>
    <t>7452ZS</t>
  </si>
  <si>
    <t>7586ST</t>
  </si>
  <si>
    <t>8361K0</t>
  </si>
  <si>
    <t>84025387</t>
  </si>
  <si>
    <t>8546W5</t>
  </si>
  <si>
    <t>866644</t>
  </si>
  <si>
    <t>871664</t>
  </si>
  <si>
    <t>9033V1</t>
  </si>
  <si>
    <t>9101GH</t>
  </si>
  <si>
    <t>9101P9</t>
  </si>
  <si>
    <t>1691564880</t>
  </si>
  <si>
    <t>914394</t>
  </si>
  <si>
    <t>9143T8</t>
  </si>
  <si>
    <t>9144C4</t>
  </si>
  <si>
    <t>916494</t>
  </si>
  <si>
    <t>93165414</t>
  </si>
  <si>
    <t>93189698</t>
  </si>
  <si>
    <t>93191238</t>
  </si>
  <si>
    <t>93868361</t>
  </si>
  <si>
    <t>95248167</t>
  </si>
  <si>
    <t>95350350</t>
  </si>
  <si>
    <t>95516194</t>
  </si>
  <si>
    <t>9670449780</t>
  </si>
  <si>
    <t>9670815980</t>
  </si>
  <si>
    <t>9672994980</t>
  </si>
  <si>
    <t>9673170080</t>
  </si>
  <si>
    <t>9673768680</t>
  </si>
  <si>
    <t>9674035780</t>
  </si>
  <si>
    <t>96748542XT</t>
  </si>
  <si>
    <t>9675070980</t>
  </si>
  <si>
    <t>96751115ZD</t>
  </si>
  <si>
    <t>9675349880</t>
  </si>
  <si>
    <t>9675477380</t>
  </si>
  <si>
    <t>9675891380</t>
  </si>
  <si>
    <t>9675977580</t>
  </si>
  <si>
    <t>9677186380</t>
  </si>
  <si>
    <t>9678565780</t>
  </si>
  <si>
    <t>9678818780</t>
  </si>
  <si>
    <t>9687934480</t>
  </si>
  <si>
    <t>9800715580</t>
  </si>
  <si>
    <t>9800777280</t>
  </si>
  <si>
    <t>9801017180</t>
  </si>
  <si>
    <t>9801174980</t>
  </si>
  <si>
    <t>9801666680</t>
  </si>
  <si>
    <t>9802152780</t>
  </si>
  <si>
    <t>9802348680</t>
  </si>
  <si>
    <t>9802483780</t>
  </si>
  <si>
    <t>9802535480</t>
  </si>
  <si>
    <t>9802846180</t>
  </si>
  <si>
    <t>98029119ZV</t>
  </si>
  <si>
    <t>980297821T</t>
  </si>
  <si>
    <t>9803129080</t>
  </si>
  <si>
    <t>9803150280</t>
  </si>
  <si>
    <t>9803150380</t>
  </si>
  <si>
    <t>9803187480</t>
  </si>
  <si>
    <t>9803778880</t>
  </si>
  <si>
    <t>9804208380</t>
  </si>
  <si>
    <t>9804281280</t>
  </si>
  <si>
    <t>9804586780</t>
  </si>
  <si>
    <t>9804586880</t>
  </si>
  <si>
    <t>9804617380</t>
  </si>
  <si>
    <t>9804833280</t>
  </si>
  <si>
    <t>9805006880</t>
  </si>
  <si>
    <t>9805902580</t>
  </si>
  <si>
    <t>9805905480</t>
  </si>
  <si>
    <t>9805905580</t>
  </si>
  <si>
    <t>9805905680</t>
  </si>
  <si>
    <t>9806039580</t>
  </si>
  <si>
    <t>9806153180</t>
  </si>
  <si>
    <t>9806533780</t>
  </si>
  <si>
    <t>9806658980</t>
  </si>
  <si>
    <t>9806788380</t>
  </si>
  <si>
    <t>98069746VD</t>
  </si>
  <si>
    <t>9807593080</t>
  </si>
  <si>
    <t>9808155580</t>
  </si>
  <si>
    <t>9808416980</t>
  </si>
  <si>
    <t>9808653680</t>
  </si>
  <si>
    <t>9808923780</t>
  </si>
  <si>
    <t>9808941980</t>
  </si>
  <si>
    <t>9809148680</t>
  </si>
  <si>
    <t>9809803880</t>
  </si>
  <si>
    <t>9809816180</t>
  </si>
  <si>
    <t>9809929080</t>
  </si>
  <si>
    <t>9810051680</t>
  </si>
  <si>
    <t>9810477080</t>
  </si>
  <si>
    <t>9810701080</t>
  </si>
  <si>
    <t>9810970680</t>
  </si>
  <si>
    <t>9811260380</t>
  </si>
  <si>
    <t>9811280480</t>
  </si>
  <si>
    <t>9811337380</t>
  </si>
  <si>
    <t>9811337480</t>
  </si>
  <si>
    <t>9811518880</t>
  </si>
  <si>
    <t>9811718480</t>
  </si>
  <si>
    <t>98118418XT</t>
  </si>
  <si>
    <t>9811909980</t>
  </si>
  <si>
    <t>9812031180</t>
  </si>
  <si>
    <t>9812046280</t>
  </si>
  <si>
    <t>9812113780</t>
  </si>
  <si>
    <t>9812257580</t>
  </si>
  <si>
    <t>9812441580</t>
  </si>
  <si>
    <t>9812441880</t>
  </si>
  <si>
    <t>9812442980</t>
  </si>
  <si>
    <t>9812751880</t>
  </si>
  <si>
    <t>9812926880</t>
  </si>
  <si>
    <t>9812983580</t>
  </si>
  <si>
    <t>9813349780</t>
  </si>
  <si>
    <t>9813353480</t>
  </si>
  <si>
    <t>9813759680</t>
  </si>
  <si>
    <t>98142792ZM</t>
  </si>
  <si>
    <t>98142793ZM</t>
  </si>
  <si>
    <t>9814630380</t>
  </si>
  <si>
    <t>9814866480</t>
  </si>
  <si>
    <t>9816195380</t>
  </si>
  <si>
    <t>9816497180</t>
  </si>
  <si>
    <t>9816741980</t>
  </si>
  <si>
    <t>9816808780</t>
  </si>
  <si>
    <t>9817154080</t>
  </si>
  <si>
    <t>9817589580</t>
  </si>
  <si>
    <t>9818425480</t>
  </si>
  <si>
    <t>98184664WP</t>
  </si>
  <si>
    <t>98184664WS</t>
  </si>
  <si>
    <t>9818468580</t>
  </si>
  <si>
    <t>981869631T</t>
  </si>
  <si>
    <t>9819325280</t>
  </si>
  <si>
    <t>9819326280</t>
  </si>
  <si>
    <t>9820100680</t>
  </si>
  <si>
    <t>9820174380</t>
  </si>
  <si>
    <t>9820189080</t>
  </si>
  <si>
    <t>9820226380</t>
  </si>
  <si>
    <t>9820325380</t>
  </si>
  <si>
    <t>9820325480</t>
  </si>
  <si>
    <t>9820344180</t>
  </si>
  <si>
    <t>9820877780</t>
  </si>
  <si>
    <t>9820877880</t>
  </si>
  <si>
    <t>9820956980</t>
  </si>
  <si>
    <t>9820965980</t>
  </si>
  <si>
    <t>9821049380</t>
  </si>
  <si>
    <t>9821121180</t>
  </si>
  <si>
    <t>9821349280</t>
  </si>
  <si>
    <t>9852550780</t>
  </si>
  <si>
    <t>9821711480</t>
  </si>
  <si>
    <t>9821885780</t>
  </si>
  <si>
    <t>9822351880</t>
  </si>
  <si>
    <t>9850841380</t>
  </si>
  <si>
    <t>9823211580</t>
  </si>
  <si>
    <t>9823211680</t>
  </si>
  <si>
    <t>9823253880</t>
  </si>
  <si>
    <t>9823532380</t>
  </si>
  <si>
    <t>9823729180</t>
  </si>
  <si>
    <t>9824312980</t>
  </si>
  <si>
    <t>9824420980</t>
  </si>
  <si>
    <t>9824606980</t>
  </si>
  <si>
    <t>9825216080</t>
  </si>
  <si>
    <t>98252889XT</t>
  </si>
  <si>
    <t>98257367XT</t>
  </si>
  <si>
    <t>9825770480</t>
  </si>
  <si>
    <t>9825833480</t>
  </si>
  <si>
    <t>98259479XY</t>
  </si>
  <si>
    <t>9825959880</t>
  </si>
  <si>
    <t>98259672XT</t>
  </si>
  <si>
    <t>9826001780</t>
  </si>
  <si>
    <t>9826113680</t>
  </si>
  <si>
    <t>9826730380</t>
  </si>
  <si>
    <t>98270091VV</t>
  </si>
  <si>
    <t>98278463DX</t>
  </si>
  <si>
    <t>9828655380</t>
  </si>
  <si>
    <t>9828655580</t>
  </si>
  <si>
    <t>9830218680</t>
  </si>
  <si>
    <t>9830487680</t>
  </si>
  <si>
    <t>9830512680</t>
  </si>
  <si>
    <t>9830580480</t>
  </si>
  <si>
    <t>9830649280</t>
  </si>
  <si>
    <t>98306591XT</t>
  </si>
  <si>
    <t>9830706180</t>
  </si>
  <si>
    <t>98307207XT</t>
  </si>
  <si>
    <t>98307208XT</t>
  </si>
  <si>
    <t>9831047380</t>
  </si>
  <si>
    <t>9831047780</t>
  </si>
  <si>
    <t>9831048680</t>
  </si>
  <si>
    <t>9832125680</t>
  </si>
  <si>
    <t>9832135380</t>
  </si>
  <si>
    <t>9832421480</t>
  </si>
  <si>
    <t>9832803480</t>
  </si>
  <si>
    <t>9833036180</t>
  </si>
  <si>
    <t>9833095880</t>
  </si>
  <si>
    <t>9833333180</t>
  </si>
  <si>
    <t>9833400080</t>
  </si>
  <si>
    <t>9833964280</t>
  </si>
  <si>
    <t>9834002580</t>
  </si>
  <si>
    <t>9834069580</t>
  </si>
  <si>
    <t>9834388280</t>
  </si>
  <si>
    <t>9835230980</t>
  </si>
  <si>
    <t>98353301XT</t>
  </si>
  <si>
    <t>9835543580</t>
  </si>
  <si>
    <t>9836058380</t>
  </si>
  <si>
    <t>9836231080</t>
  </si>
  <si>
    <t>9836330880</t>
  </si>
  <si>
    <t>98365912XT</t>
  </si>
  <si>
    <t>9836834880</t>
  </si>
  <si>
    <t>9837167980</t>
  </si>
  <si>
    <t>9837168080</t>
  </si>
  <si>
    <t>9837413780</t>
  </si>
  <si>
    <t>9837414780</t>
  </si>
  <si>
    <t>98376407XT</t>
  </si>
  <si>
    <t>9837705780</t>
  </si>
  <si>
    <t>98384340XT</t>
  </si>
  <si>
    <t>98384344XT</t>
  </si>
  <si>
    <t>98384346XT</t>
  </si>
  <si>
    <t>98385169XT</t>
  </si>
  <si>
    <t>9839286180</t>
  </si>
  <si>
    <t>9839286380</t>
  </si>
  <si>
    <t>9840705480</t>
  </si>
  <si>
    <t>98408609ZD</t>
  </si>
  <si>
    <t>9841148980</t>
  </si>
  <si>
    <t>9841824780</t>
  </si>
  <si>
    <t>9841908280</t>
  </si>
  <si>
    <t>9842316580</t>
  </si>
  <si>
    <t>9843224880</t>
  </si>
  <si>
    <t>984451501T</t>
  </si>
  <si>
    <t>9844621380</t>
  </si>
  <si>
    <t>98467904XY</t>
  </si>
  <si>
    <t>9847241280</t>
  </si>
  <si>
    <t>98477391ZD</t>
  </si>
  <si>
    <t>9848007980</t>
  </si>
  <si>
    <t>9848130780</t>
  </si>
  <si>
    <t>9848131080</t>
  </si>
  <si>
    <t>9848131280</t>
  </si>
  <si>
    <t>9849189680</t>
  </si>
  <si>
    <t>9849717080</t>
  </si>
  <si>
    <t>9849859880</t>
  </si>
  <si>
    <t>9850109580</t>
  </si>
  <si>
    <t>9850523480</t>
  </si>
  <si>
    <t>B000781480</t>
  </si>
  <si>
    <t>B000798380</t>
  </si>
  <si>
    <t>B000892480</t>
  </si>
  <si>
    <t>B000978080</t>
  </si>
  <si>
    <t>V763855180</t>
  </si>
  <si>
    <t>YP00024880</t>
  </si>
  <si>
    <t>YQ00353280</t>
  </si>
  <si>
    <t>YQ00571980</t>
  </si>
  <si>
    <t>YQ009412XT</t>
  </si>
  <si>
    <t>YR00055080</t>
  </si>
  <si>
    <t>YR00055180</t>
  </si>
  <si>
    <t>1688134180</t>
  </si>
  <si>
    <t>1693481280</t>
  </si>
  <si>
    <t>169348231T</t>
  </si>
  <si>
    <t>171366</t>
  </si>
  <si>
    <t>5960L5</t>
  </si>
  <si>
    <t>634089</t>
  </si>
  <si>
    <t>9110702</t>
  </si>
  <si>
    <t>9821673680</t>
  </si>
  <si>
    <t>9822477880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</si>
  <si>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</si>
  <si>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</si>
  <si>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</si>
  <si>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</si>
  <si>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</si>
  <si>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</si>
  <si>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</si>
  <si>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9859382180</t>
  </si>
  <si>
    <t>NO LONGER SUPPLIED</t>
  </si>
  <si>
    <t>UNKNOWN</t>
  </si>
  <si>
    <t>NOT AVAIL</t>
  </si>
  <si>
    <t>DP IL00306 - 12112024</t>
  </si>
  <si>
    <t>ARTICLE</t>
  </si>
  <si>
    <t>RP</t>
  </si>
  <si>
    <t>DESCRIPTION</t>
  </si>
  <si>
    <t>INFO</t>
  </si>
  <si>
    <t>QTY</t>
  </si>
  <si>
    <t>FINAL QTY</t>
  </si>
  <si>
    <t>UP€</t>
  </si>
  <si>
    <t>TOTAL€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</si>
</sst>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0" borderId="0" xfId="0" applyNumberFormat="1" applyAlignment="1">
      <alignment horizontal="center"/>
    </xf>
    <xf numFmtId="43" fontId="0" fillId="0" borderId="0" xfId="1" applyFont="1"/>
  </cellXfs>
  <cellStyles count="2">
    <cellStyle name="Milliers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19"/>
      <tableStyleElement type="headerRow" dxfId="18"/>
      <tableStyleElement type="total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41273-52EA-4E80-ACE0-201802406D73}" name="cvg" displayName="cvg" ref="A2:H437" totalsRowCount="1">
  <autoFilter ref="A2:H436" xr:uid="{8E341273-52EA-4E80-ACE0-201802406D73}"/>
  <tableColumns count="8">
    <tableColumn id="1" xr3:uid="{07ACEE25-10D9-448E-B28F-5F1FCDAA8D52}" name="ARTICLE" dataDxfId="12" totalsRowDxfId="7"/>
    <tableColumn id="2" xr3:uid="{B5AA75DB-1457-4A70-8F7A-93037EE5EA1F}" name="RP" dataDxfId="13" totalsRowDxfId="6"/>
    <tableColumn id="3" xr3:uid="{6B98B784-45D1-4943-8903-AB1BCF033961}" name="DESCRIPTION" dataDxfId="11" totalsRowDxfId="5"/>
    <tableColumn id="6" xr3:uid="{AC8B10A8-3A26-4436-9E90-17D120B6F2FA}" name="INFO" dataDxfId="10" totalsRowDxfId="4"/>
    <tableColumn id="7" xr3:uid="{1C76ACA2-E096-434B-AA24-85F51984CFCB}" name="QTY" dataDxfId="9" totalsRowDxfId="3"/>
    <tableColumn id="8" xr3:uid="{B26D793D-9D10-4E39-980F-C394F0FE0C02}" name="FINAL QTY" dataDxfId="8" totalsRowDxfId="2"/>
    <tableColumn id="17" xr3:uid="{F8319AC1-7C33-4CC1-8C6B-CF92276DF1BC}" name="UP€" totalsRowDxfId="1" dataCellStyle="Milliers" totalsRowCellStyle="Milliers"/>
    <tableColumn id="31" xr3:uid="{BAC76DAB-BB2C-490C-8CB5-DF1D5B102525}" name="TOTAL€" totalsRowFunction="custom" dataDxfId="14" totalsRowDxfId="0" totalsRowCellStyle="Milliers">
      <calculatedColumnFormula>+cvg[[#This Row],[UP€]]*cvg[[#This Row],[FINAL QTY]]</calculatedColumnFormula>
      <totalsRowFormula>SUBTOTAL(109,cvg.LINQUOATI)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37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18" bestFit="1" customWidth="1"/>
    <col min="2" max="2" width="12" bestFit="1" customWidth="1"/>
    <col min="3" max="3" width="35.5703125" bestFit="1" customWidth="1"/>
    <col min="4" max="4" width="20.28515625" bestFit="1" customWidth="1"/>
    <col min="5" max="5" width="18.85546875" style="4" bestFit="1" customWidth="1"/>
    <col min="6" max="6" width="13.42578125" style="4" bestFit="1" customWidth="1"/>
    <col min="7" max="7" width="13.5703125" style="5" bestFit="1" customWidth="1"/>
    <col min="8" max="8" width="13.5703125" bestFit="1" customWidth="1"/>
    <col min="9" max="9" width="18.140625" bestFit="1" customWidth="1"/>
    <col min="10" max="10" width="17.5703125" bestFit="1" customWidth="1"/>
    <col min="11" max="11" width="22.7109375" bestFit="1" customWidth="1"/>
    <col min="12" max="12" width="18.140625" bestFit="1" customWidth="1"/>
    <col min="13" max="13" width="21.28515625" bestFit="1" customWidth="1"/>
    <col min="14" max="14" width="19.7109375" bestFit="1" customWidth="1"/>
    <col min="15" max="15" width="20.5703125" bestFit="1" customWidth="1"/>
  </cols>
  <sheetData>
    <row r="1" spans="1:8" x14ac:dyDescent="0.25">
      <c r="A1" t="s">
        <v>704</v>
      </c>
    </row>
    <row r="2" spans="1:8" x14ac:dyDescent="0.25">
      <c r="A2" s="1" t="s">
        <v>705</v>
      </c>
      <c r="B2" s="1" t="s">
        <v>706</v>
      </c>
      <c r="C2" s="1" t="s">
        <v>707</v>
      </c>
      <c r="D2" s="1" t="s">
        <v>708</v>
      </c>
      <c r="E2" s="4" t="s">
        <v>709</v>
      </c>
      <c r="F2" s="4" t="s">
        <v>710</v>
      </c>
      <c r="G2" s="5" t="s">
        <v>711</v>
      </c>
      <c r="H2" s="1" t="s">
        <v>712</v>
      </c>
    </row>
    <row r="3" spans="1:8" x14ac:dyDescent="0.25">
      <c r="A3" s="1" t="s">
        <v>262</v>
      </c>
      <c r="B3" s="1" t="s">
        <v>262</v>
      </c>
      <c r="C3" s="1" t="s">
        <v>1</v>
      </c>
      <c r="D3" s="1"/>
      <c r="E3" s="4">
        <v>4</v>
      </c>
      <c r="F3" s="4">
        <v>4</v>
      </c>
      <c r="G3" s="5">
        <v>19.93</v>
      </c>
      <c r="H3" s="2">
        <f>+cvg[[#This Row],[UP€]]*cvg[[#This Row],[FINAL QTY]]</f>
        <v>79.72</v>
      </c>
    </row>
    <row r="4" spans="1:8" x14ac:dyDescent="0.25">
      <c r="A4" s="1" t="s">
        <v>263</v>
      </c>
      <c r="B4" s="1" t="s">
        <v>263</v>
      </c>
      <c r="C4" s="1" t="s">
        <v>2</v>
      </c>
      <c r="D4" s="1"/>
      <c r="E4" s="4">
        <v>1</v>
      </c>
      <c r="F4" s="4">
        <v>1</v>
      </c>
      <c r="G4" s="5">
        <v>26.25</v>
      </c>
      <c r="H4" s="2">
        <f>+cvg[[#This Row],[UP€]]*cvg[[#This Row],[FINAL QTY]]</f>
        <v>26.25</v>
      </c>
    </row>
    <row r="5" spans="1:8" x14ac:dyDescent="0.25">
      <c r="A5" s="1" t="s">
        <v>264</v>
      </c>
      <c r="B5" s="1" t="s">
        <v>264</v>
      </c>
      <c r="C5" s="1" t="s">
        <v>3</v>
      </c>
      <c r="D5" s="1"/>
      <c r="E5" s="4">
        <v>2</v>
      </c>
      <c r="F5" s="4">
        <v>2</v>
      </c>
      <c r="G5" s="5">
        <v>69.599999999999994</v>
      </c>
      <c r="H5" s="2">
        <f>+cvg[[#This Row],[UP€]]*cvg[[#This Row],[FINAL QTY]]</f>
        <v>139.19999999999999</v>
      </c>
    </row>
    <row r="6" spans="1:8" x14ac:dyDescent="0.25">
      <c r="A6" s="1" t="s">
        <v>265</v>
      </c>
      <c r="B6" s="1" t="s">
        <v>265</v>
      </c>
      <c r="C6" s="1" t="s">
        <v>3</v>
      </c>
      <c r="D6" s="1"/>
      <c r="E6" s="4">
        <v>1</v>
      </c>
      <c r="F6" s="4">
        <v>1</v>
      </c>
      <c r="G6" s="5">
        <v>69.38</v>
      </c>
      <c r="H6" s="2">
        <f>+cvg[[#This Row],[UP€]]*cvg[[#This Row],[FINAL QTY]]</f>
        <v>69.38</v>
      </c>
    </row>
    <row r="7" spans="1:8" x14ac:dyDescent="0.25">
      <c r="A7" s="1" t="s">
        <v>266</v>
      </c>
      <c r="B7" s="1" t="s">
        <v>266</v>
      </c>
      <c r="C7" s="1" t="s">
        <v>4</v>
      </c>
      <c r="D7" s="1"/>
      <c r="E7" s="4">
        <v>50</v>
      </c>
      <c r="F7" s="4">
        <v>52</v>
      </c>
      <c r="G7" s="5">
        <v>1.56</v>
      </c>
      <c r="H7" s="2">
        <f>+cvg[[#This Row],[UP€]]*cvg[[#This Row],[FINAL QTY]]</f>
        <v>81.12</v>
      </c>
    </row>
    <row r="8" spans="1:8" x14ac:dyDescent="0.25">
      <c r="A8" s="1" t="s">
        <v>267</v>
      </c>
      <c r="B8" s="1" t="s">
        <v>267</v>
      </c>
      <c r="C8" s="1" t="s">
        <v>5</v>
      </c>
      <c r="D8" s="1"/>
      <c r="E8" s="4">
        <v>10</v>
      </c>
      <c r="F8" s="4">
        <v>10</v>
      </c>
      <c r="G8" s="5">
        <v>26.61</v>
      </c>
      <c r="H8" s="2">
        <f>+cvg[[#This Row],[UP€]]*cvg[[#This Row],[FINAL QTY]]</f>
        <v>266.10000000000002</v>
      </c>
    </row>
    <row r="9" spans="1:8" x14ac:dyDescent="0.25">
      <c r="A9" s="1" t="s">
        <v>268</v>
      </c>
      <c r="B9" s="1" t="s">
        <v>268</v>
      </c>
      <c r="C9" s="1" t="s">
        <v>6</v>
      </c>
      <c r="D9" s="1"/>
      <c r="E9" s="4">
        <v>10</v>
      </c>
      <c r="F9" s="4">
        <v>10</v>
      </c>
      <c r="G9" s="5">
        <v>42.57</v>
      </c>
      <c r="H9" s="2">
        <f>+cvg[[#This Row],[UP€]]*cvg[[#This Row],[FINAL QTY]]</f>
        <v>425.7</v>
      </c>
    </row>
    <row r="10" spans="1:8" x14ac:dyDescent="0.25">
      <c r="A10" s="1" t="s">
        <v>269</v>
      </c>
      <c r="B10" s="1" t="s">
        <v>269</v>
      </c>
      <c r="C10" s="1" t="s">
        <v>7</v>
      </c>
      <c r="D10" s="1"/>
      <c r="E10" s="4">
        <v>4</v>
      </c>
      <c r="F10" s="4">
        <v>4</v>
      </c>
      <c r="G10" s="5">
        <v>24.3</v>
      </c>
      <c r="H10" s="2">
        <f>+cvg[[#This Row],[UP€]]*cvg[[#This Row],[FINAL QTY]]</f>
        <v>97.2</v>
      </c>
    </row>
    <row r="11" spans="1:8" x14ac:dyDescent="0.25">
      <c r="A11" s="1" t="s">
        <v>270</v>
      </c>
      <c r="B11" s="1" t="s">
        <v>270</v>
      </c>
      <c r="C11" s="1" t="s">
        <v>8</v>
      </c>
      <c r="D11" s="1"/>
      <c r="E11" s="4">
        <v>100</v>
      </c>
      <c r="F11" s="4">
        <v>100</v>
      </c>
      <c r="G11" s="5">
        <v>5.24</v>
      </c>
      <c r="H11" s="2">
        <f>+cvg[[#This Row],[UP€]]*cvg[[#This Row],[FINAL QTY]]</f>
        <v>524</v>
      </c>
    </row>
    <row r="12" spans="1:8" x14ac:dyDescent="0.25">
      <c r="A12" s="1" t="s">
        <v>271</v>
      </c>
      <c r="B12" s="1" t="s">
        <v>271</v>
      </c>
      <c r="C12" s="1" t="s">
        <v>9</v>
      </c>
      <c r="D12" s="1" t="s">
        <v>701</v>
      </c>
      <c r="E12" s="4">
        <v>1</v>
      </c>
      <c r="F12" s="4">
        <v>1</v>
      </c>
      <c r="H12" s="2"/>
    </row>
    <row r="13" spans="1:8" x14ac:dyDescent="0.25">
      <c r="A13" s="1" t="s">
        <v>272</v>
      </c>
      <c r="B13" s="1" t="s">
        <v>272</v>
      </c>
      <c r="C13" s="1" t="s">
        <v>10</v>
      </c>
      <c r="D13" s="1"/>
      <c r="E13" s="4">
        <v>10</v>
      </c>
      <c r="F13" s="4">
        <v>10</v>
      </c>
      <c r="G13" s="5">
        <v>65.69</v>
      </c>
      <c r="H13" s="2">
        <f>+cvg[[#This Row],[UP€]]*cvg[[#This Row],[FINAL QTY]]</f>
        <v>656.9</v>
      </c>
    </row>
    <row r="14" spans="1:8" x14ac:dyDescent="0.25">
      <c r="A14" s="1" t="s">
        <v>273</v>
      </c>
      <c r="B14" s="1" t="s">
        <v>273</v>
      </c>
      <c r="C14" s="1" t="s">
        <v>11</v>
      </c>
      <c r="D14" s="1"/>
      <c r="E14" s="4">
        <v>1</v>
      </c>
      <c r="F14" s="4">
        <v>1</v>
      </c>
      <c r="G14" s="5">
        <v>33.200000000000003</v>
      </c>
      <c r="H14" s="2">
        <f>+cvg[[#This Row],[UP€]]*cvg[[#This Row],[FINAL QTY]]</f>
        <v>33.200000000000003</v>
      </c>
    </row>
    <row r="15" spans="1:8" x14ac:dyDescent="0.25">
      <c r="A15" s="1" t="s">
        <v>274</v>
      </c>
      <c r="B15" s="1" t="s">
        <v>274</v>
      </c>
      <c r="C15" s="1" t="s">
        <v>12</v>
      </c>
      <c r="D15" s="1"/>
      <c r="E15" s="4">
        <v>1</v>
      </c>
      <c r="F15" s="4">
        <v>1</v>
      </c>
      <c r="G15" s="5">
        <v>19.37</v>
      </c>
      <c r="H15" s="2">
        <f>+cvg[[#This Row],[UP€]]*cvg[[#This Row],[FINAL QTY]]</f>
        <v>19.37</v>
      </c>
    </row>
    <row r="16" spans="1:8" x14ac:dyDescent="0.25">
      <c r="A16" s="1" t="s">
        <v>275</v>
      </c>
      <c r="B16" s="1" t="s">
        <v>275</v>
      </c>
      <c r="C16" s="1" t="s">
        <v>13</v>
      </c>
      <c r="D16" s="1"/>
      <c r="E16" s="4">
        <v>2</v>
      </c>
      <c r="F16" s="4">
        <v>2</v>
      </c>
      <c r="G16" s="5">
        <v>4.37</v>
      </c>
      <c r="H16" s="2">
        <f>+cvg[[#This Row],[UP€]]*cvg[[#This Row],[FINAL QTY]]</f>
        <v>8.74</v>
      </c>
    </row>
    <row r="17" spans="1:8" x14ac:dyDescent="0.25">
      <c r="A17" s="1" t="s">
        <v>276</v>
      </c>
      <c r="B17" s="1" t="s">
        <v>276</v>
      </c>
      <c r="C17" s="1" t="s">
        <v>14</v>
      </c>
      <c r="D17" s="1"/>
      <c r="E17" s="4">
        <v>50</v>
      </c>
      <c r="F17" s="4">
        <v>50</v>
      </c>
      <c r="G17" s="5">
        <v>3.18</v>
      </c>
      <c r="H17" s="2">
        <f>+cvg[[#This Row],[UP€]]*cvg[[#This Row],[FINAL QTY]]</f>
        <v>159</v>
      </c>
    </row>
    <row r="18" spans="1:8" x14ac:dyDescent="0.25">
      <c r="A18" s="1" t="s">
        <v>277</v>
      </c>
      <c r="B18" s="1" t="s">
        <v>277</v>
      </c>
      <c r="C18" s="1" t="s">
        <v>15</v>
      </c>
      <c r="D18" s="1"/>
      <c r="E18" s="4">
        <v>3</v>
      </c>
      <c r="F18" s="4">
        <v>3</v>
      </c>
      <c r="G18" s="5">
        <v>19.7</v>
      </c>
      <c r="H18" s="2">
        <f>+cvg[[#This Row],[UP€]]*cvg[[#This Row],[FINAL QTY]]</f>
        <v>59.099999999999994</v>
      </c>
    </row>
    <row r="19" spans="1:8" x14ac:dyDescent="0.25">
      <c r="A19" s="1" t="s">
        <v>278</v>
      </c>
      <c r="B19" s="1" t="s">
        <v>278</v>
      </c>
      <c r="C19" s="1" t="s">
        <v>16</v>
      </c>
      <c r="D19" s="1"/>
      <c r="E19" s="4">
        <v>10</v>
      </c>
      <c r="F19" s="4">
        <v>10</v>
      </c>
      <c r="G19" s="5">
        <v>4.16</v>
      </c>
      <c r="H19" s="2">
        <f>+cvg[[#This Row],[UP€]]*cvg[[#This Row],[FINAL QTY]]</f>
        <v>41.6</v>
      </c>
    </row>
    <row r="20" spans="1:8" x14ac:dyDescent="0.25">
      <c r="A20" s="1" t="s">
        <v>279</v>
      </c>
      <c r="B20" s="1" t="s">
        <v>279</v>
      </c>
      <c r="C20" s="1" t="s">
        <v>17</v>
      </c>
      <c r="D20" s="1"/>
      <c r="E20" s="4">
        <v>1</v>
      </c>
      <c r="F20" s="4">
        <v>1</v>
      </c>
      <c r="G20" s="5">
        <v>19.850000000000001</v>
      </c>
      <c r="H20" s="2">
        <f>+cvg[[#This Row],[UP€]]*cvg[[#This Row],[FINAL QTY]]</f>
        <v>19.850000000000001</v>
      </c>
    </row>
    <row r="21" spans="1:8" x14ac:dyDescent="0.25">
      <c r="A21" s="1" t="s">
        <v>280</v>
      </c>
      <c r="B21" s="1" t="s">
        <v>280</v>
      </c>
      <c r="C21" s="1" t="s">
        <v>18</v>
      </c>
      <c r="D21" s="1"/>
      <c r="E21" s="4">
        <v>4</v>
      </c>
      <c r="F21" s="4">
        <v>4</v>
      </c>
      <c r="G21" s="5">
        <v>8.1</v>
      </c>
      <c r="H21" s="2">
        <f>+cvg[[#This Row],[UP€]]*cvg[[#This Row],[FINAL QTY]]</f>
        <v>32.4</v>
      </c>
    </row>
    <row r="22" spans="1:8" x14ac:dyDescent="0.25">
      <c r="A22" s="1" t="s">
        <v>281</v>
      </c>
      <c r="B22" s="1" t="s">
        <v>281</v>
      </c>
      <c r="C22" s="1" t="s">
        <v>18</v>
      </c>
      <c r="D22" s="1"/>
      <c r="E22" s="4">
        <v>4</v>
      </c>
      <c r="F22" s="4">
        <v>4</v>
      </c>
      <c r="G22" s="5">
        <v>8.1</v>
      </c>
      <c r="H22" s="2">
        <f>+cvg[[#This Row],[UP€]]*cvg[[#This Row],[FINAL QTY]]</f>
        <v>32.4</v>
      </c>
    </row>
    <row r="23" spans="1:8" x14ac:dyDescent="0.25">
      <c r="A23" s="1" t="s">
        <v>282</v>
      </c>
      <c r="B23" s="1" t="s">
        <v>282</v>
      </c>
      <c r="C23" s="1" t="s">
        <v>12</v>
      </c>
      <c r="D23" s="1"/>
      <c r="E23" s="4">
        <v>3</v>
      </c>
      <c r="F23" s="4">
        <v>3</v>
      </c>
      <c r="G23" s="5">
        <v>4.88</v>
      </c>
      <c r="H23" s="2">
        <f>+cvg[[#This Row],[UP€]]*cvg[[#This Row],[FINAL QTY]]</f>
        <v>14.64</v>
      </c>
    </row>
    <row r="24" spans="1:8" x14ac:dyDescent="0.25">
      <c r="A24" s="1" t="s">
        <v>283</v>
      </c>
      <c r="B24" s="1" t="s">
        <v>283</v>
      </c>
      <c r="C24" s="1" t="s">
        <v>19</v>
      </c>
      <c r="D24" s="1"/>
      <c r="E24" s="4">
        <v>3</v>
      </c>
      <c r="F24" s="4">
        <v>3</v>
      </c>
      <c r="G24" s="5">
        <v>55.99</v>
      </c>
      <c r="H24" s="2">
        <f>+cvg[[#This Row],[UP€]]*cvg[[#This Row],[FINAL QTY]]</f>
        <v>167.97</v>
      </c>
    </row>
    <row r="25" spans="1:8" x14ac:dyDescent="0.25">
      <c r="A25" s="1" t="s">
        <v>284</v>
      </c>
      <c r="B25" s="1" t="s">
        <v>284</v>
      </c>
      <c r="C25" s="1" t="s">
        <v>20</v>
      </c>
      <c r="D25" s="1"/>
      <c r="E25" s="4">
        <v>2</v>
      </c>
      <c r="F25" s="4">
        <v>2</v>
      </c>
      <c r="G25" s="5">
        <v>69.59</v>
      </c>
      <c r="H25" s="2">
        <f>+cvg[[#This Row],[UP€]]*cvg[[#This Row],[FINAL QTY]]</f>
        <v>139.18</v>
      </c>
    </row>
    <row r="26" spans="1:8" x14ac:dyDescent="0.25">
      <c r="A26" s="1" t="s">
        <v>285</v>
      </c>
      <c r="B26" s="1" t="s">
        <v>285</v>
      </c>
      <c r="C26" s="1" t="s">
        <v>21</v>
      </c>
      <c r="D26" s="1"/>
      <c r="E26" s="4">
        <v>1</v>
      </c>
      <c r="F26" s="4">
        <v>1</v>
      </c>
      <c r="G26" s="5">
        <v>180.51</v>
      </c>
      <c r="H26" s="2">
        <f>+cvg[[#This Row],[UP€]]*cvg[[#This Row],[FINAL QTY]]</f>
        <v>180.51</v>
      </c>
    </row>
    <row r="27" spans="1:8" x14ac:dyDescent="0.25">
      <c r="A27" s="1" t="s">
        <v>286</v>
      </c>
      <c r="B27" s="1" t="s">
        <v>286</v>
      </c>
      <c r="C27" s="1" t="s">
        <v>22</v>
      </c>
      <c r="D27" s="1"/>
      <c r="E27" s="4">
        <v>2</v>
      </c>
      <c r="F27" s="4">
        <v>2</v>
      </c>
      <c r="G27" s="5">
        <v>15.65</v>
      </c>
      <c r="H27" s="2">
        <f>+cvg[[#This Row],[UP€]]*cvg[[#This Row],[FINAL QTY]]</f>
        <v>31.3</v>
      </c>
    </row>
    <row r="28" spans="1:8" x14ac:dyDescent="0.25">
      <c r="A28" s="1" t="s">
        <v>287</v>
      </c>
      <c r="B28" s="1" t="s">
        <v>287</v>
      </c>
      <c r="C28" s="1" t="s">
        <v>23</v>
      </c>
      <c r="D28" s="1"/>
      <c r="E28" s="4">
        <v>2</v>
      </c>
      <c r="F28" s="4">
        <v>2</v>
      </c>
      <c r="G28" s="5">
        <v>3.2</v>
      </c>
      <c r="H28" s="2">
        <f>+cvg[[#This Row],[UP€]]*cvg[[#This Row],[FINAL QTY]]</f>
        <v>6.4</v>
      </c>
    </row>
    <row r="29" spans="1:8" x14ac:dyDescent="0.25">
      <c r="A29" s="1" t="s">
        <v>288</v>
      </c>
      <c r="B29" s="1" t="s">
        <v>288</v>
      </c>
      <c r="C29" s="1" t="s">
        <v>24</v>
      </c>
      <c r="D29" s="1"/>
      <c r="E29" s="4">
        <v>5</v>
      </c>
      <c r="F29" s="4">
        <v>5</v>
      </c>
      <c r="G29" s="5">
        <v>32.69</v>
      </c>
      <c r="H29" s="2">
        <f>+cvg[[#This Row],[UP€]]*cvg[[#This Row],[FINAL QTY]]</f>
        <v>163.44999999999999</v>
      </c>
    </row>
    <row r="30" spans="1:8" x14ac:dyDescent="0.25">
      <c r="A30" s="1" t="s">
        <v>289</v>
      </c>
      <c r="B30" s="1" t="s">
        <v>289</v>
      </c>
      <c r="C30" s="1" t="s">
        <v>25</v>
      </c>
      <c r="D30" s="1"/>
      <c r="E30" s="4">
        <v>2</v>
      </c>
      <c r="F30" s="4">
        <v>2</v>
      </c>
      <c r="G30" s="5">
        <v>99.6</v>
      </c>
      <c r="H30" s="2">
        <f>+cvg[[#This Row],[UP€]]*cvg[[#This Row],[FINAL QTY]]</f>
        <v>199.2</v>
      </c>
    </row>
    <row r="31" spans="1:8" x14ac:dyDescent="0.25">
      <c r="A31" s="1" t="s">
        <v>290</v>
      </c>
      <c r="B31" s="1" t="s">
        <v>290</v>
      </c>
      <c r="C31" s="1" t="s">
        <v>26</v>
      </c>
      <c r="D31" s="1"/>
      <c r="E31" s="4">
        <v>2</v>
      </c>
      <c r="F31" s="4">
        <v>2</v>
      </c>
      <c r="G31" s="5">
        <v>21.04</v>
      </c>
      <c r="H31" s="2">
        <f>+cvg[[#This Row],[UP€]]*cvg[[#This Row],[FINAL QTY]]</f>
        <v>42.08</v>
      </c>
    </row>
    <row r="32" spans="1:8" x14ac:dyDescent="0.25">
      <c r="A32" s="1" t="s">
        <v>291</v>
      </c>
      <c r="B32" s="1" t="s">
        <v>291</v>
      </c>
      <c r="C32" s="1" t="s">
        <v>17</v>
      </c>
      <c r="D32" s="1"/>
      <c r="E32" s="4">
        <v>1</v>
      </c>
      <c r="F32" s="4">
        <v>1</v>
      </c>
      <c r="G32" s="5">
        <v>17.77</v>
      </c>
      <c r="H32" s="2">
        <f>+cvg[[#This Row],[UP€]]*cvg[[#This Row],[FINAL QTY]]</f>
        <v>17.77</v>
      </c>
    </row>
    <row r="33" spans="1:8" x14ac:dyDescent="0.25">
      <c r="A33" s="1" t="s">
        <v>292</v>
      </c>
      <c r="B33" s="1" t="s">
        <v>292</v>
      </c>
      <c r="C33" s="1" t="s">
        <v>27</v>
      </c>
      <c r="D33" s="1"/>
      <c r="E33" s="4">
        <v>20</v>
      </c>
      <c r="F33" s="4">
        <v>20</v>
      </c>
      <c r="G33" s="5">
        <v>3.88</v>
      </c>
      <c r="H33" s="2">
        <f>+cvg[[#This Row],[UP€]]*cvg[[#This Row],[FINAL QTY]]</f>
        <v>77.599999999999994</v>
      </c>
    </row>
    <row r="34" spans="1:8" x14ac:dyDescent="0.25">
      <c r="A34" s="1" t="s">
        <v>293</v>
      </c>
      <c r="B34" s="1" t="s">
        <v>293</v>
      </c>
      <c r="C34" s="1" t="s">
        <v>13</v>
      </c>
      <c r="D34" s="1"/>
      <c r="E34" s="4">
        <v>5</v>
      </c>
      <c r="F34" s="4">
        <v>5</v>
      </c>
      <c r="G34" s="5">
        <v>14.73</v>
      </c>
      <c r="H34" s="2">
        <f>+cvg[[#This Row],[UP€]]*cvg[[#This Row],[FINAL QTY]]</f>
        <v>73.650000000000006</v>
      </c>
    </row>
    <row r="35" spans="1:8" x14ac:dyDescent="0.25">
      <c r="A35" s="1" t="s">
        <v>294</v>
      </c>
      <c r="B35" s="1" t="s">
        <v>294</v>
      </c>
      <c r="C35" s="1" t="s">
        <v>20</v>
      </c>
      <c r="D35" s="1"/>
      <c r="E35" s="4">
        <v>1</v>
      </c>
      <c r="F35" s="4">
        <v>1</v>
      </c>
      <c r="G35" s="5">
        <v>33.21</v>
      </c>
      <c r="H35" s="2">
        <f>+cvg[[#This Row],[UP€]]*cvg[[#This Row],[FINAL QTY]]</f>
        <v>33.21</v>
      </c>
    </row>
    <row r="36" spans="1:8" x14ac:dyDescent="0.25">
      <c r="A36" s="1" t="s">
        <v>295</v>
      </c>
      <c r="B36" s="1" t="s">
        <v>295</v>
      </c>
      <c r="C36" s="1" t="s">
        <v>28</v>
      </c>
      <c r="D36" s="1"/>
      <c r="E36" s="4">
        <v>1</v>
      </c>
      <c r="F36" s="4">
        <v>1</v>
      </c>
      <c r="G36" s="5">
        <v>5.77</v>
      </c>
      <c r="H36" s="2">
        <f>+cvg[[#This Row],[UP€]]*cvg[[#This Row],[FINAL QTY]]</f>
        <v>5.77</v>
      </c>
    </row>
    <row r="37" spans="1:8" x14ac:dyDescent="0.25">
      <c r="A37" s="1" t="s">
        <v>296</v>
      </c>
      <c r="B37" s="1" t="s">
        <v>296</v>
      </c>
      <c r="C37" s="1" t="s">
        <v>28</v>
      </c>
      <c r="D37" s="1"/>
      <c r="E37" s="4">
        <v>1</v>
      </c>
      <c r="F37" s="4">
        <v>1</v>
      </c>
      <c r="G37" s="5">
        <v>7.22</v>
      </c>
      <c r="H37" s="2">
        <f>+cvg[[#This Row],[UP€]]*cvg[[#This Row],[FINAL QTY]]</f>
        <v>7.22</v>
      </c>
    </row>
    <row r="38" spans="1:8" x14ac:dyDescent="0.25">
      <c r="A38" s="1" t="s">
        <v>297</v>
      </c>
      <c r="B38" s="1" t="s">
        <v>297</v>
      </c>
      <c r="C38" s="1" t="s">
        <v>20</v>
      </c>
      <c r="D38" s="1"/>
      <c r="E38" s="4">
        <v>1</v>
      </c>
      <c r="F38" s="4">
        <v>1</v>
      </c>
      <c r="G38" s="5">
        <v>84.52</v>
      </c>
      <c r="H38" s="2">
        <f>+cvg[[#This Row],[UP€]]*cvg[[#This Row],[FINAL QTY]]</f>
        <v>84.52</v>
      </c>
    </row>
    <row r="39" spans="1:8" x14ac:dyDescent="0.25">
      <c r="A39" s="1" t="s">
        <v>298</v>
      </c>
      <c r="B39" s="1" t="s">
        <v>298</v>
      </c>
      <c r="C39" s="1" t="s">
        <v>29</v>
      </c>
      <c r="D39" s="1"/>
      <c r="E39" s="4">
        <v>3</v>
      </c>
      <c r="F39" s="4">
        <v>3</v>
      </c>
      <c r="G39" s="5">
        <v>10.33</v>
      </c>
      <c r="H39" s="2">
        <f>+cvg[[#This Row],[UP€]]*cvg[[#This Row],[FINAL QTY]]</f>
        <v>30.990000000000002</v>
      </c>
    </row>
    <row r="40" spans="1:8" x14ac:dyDescent="0.25">
      <c r="A40" s="1" t="s">
        <v>299</v>
      </c>
      <c r="B40" s="1" t="s">
        <v>299</v>
      </c>
      <c r="C40" s="1" t="s">
        <v>30</v>
      </c>
      <c r="D40" s="1"/>
      <c r="E40" s="4">
        <v>5</v>
      </c>
      <c r="F40" s="4">
        <v>5</v>
      </c>
      <c r="G40" s="5">
        <v>28.61</v>
      </c>
      <c r="H40" s="2">
        <f>+cvg[[#This Row],[UP€]]*cvg[[#This Row],[FINAL QTY]]</f>
        <v>143.05000000000001</v>
      </c>
    </row>
    <row r="41" spans="1:8" x14ac:dyDescent="0.25">
      <c r="A41" s="1" t="s">
        <v>300</v>
      </c>
      <c r="B41" s="1" t="s">
        <v>300</v>
      </c>
      <c r="C41" s="1" t="s">
        <v>31</v>
      </c>
      <c r="D41" s="1"/>
      <c r="E41" s="4">
        <v>1</v>
      </c>
      <c r="F41" s="4">
        <v>1</v>
      </c>
      <c r="G41" s="5">
        <v>16.55</v>
      </c>
      <c r="H41" s="2">
        <f>+cvg[[#This Row],[UP€]]*cvg[[#This Row],[FINAL QTY]]</f>
        <v>16.55</v>
      </c>
    </row>
    <row r="42" spans="1:8" x14ac:dyDescent="0.25">
      <c r="A42" s="1" t="s">
        <v>301</v>
      </c>
      <c r="B42" s="1" t="s">
        <v>301</v>
      </c>
      <c r="C42" s="1" t="s">
        <v>23</v>
      </c>
      <c r="D42" s="1"/>
      <c r="E42" s="4">
        <v>2</v>
      </c>
      <c r="F42" s="4">
        <v>2</v>
      </c>
      <c r="G42" s="5">
        <v>7.71</v>
      </c>
      <c r="H42" s="2">
        <f>+cvg[[#This Row],[UP€]]*cvg[[#This Row],[FINAL QTY]]</f>
        <v>15.42</v>
      </c>
    </row>
    <row r="43" spans="1:8" x14ac:dyDescent="0.25">
      <c r="A43" s="1" t="s">
        <v>302</v>
      </c>
      <c r="B43" s="1" t="s">
        <v>302</v>
      </c>
      <c r="C43" s="1" t="s">
        <v>23</v>
      </c>
      <c r="D43" s="1"/>
      <c r="E43" s="4">
        <v>2</v>
      </c>
      <c r="F43" s="4">
        <v>2</v>
      </c>
      <c r="G43" s="5">
        <v>7.71</v>
      </c>
      <c r="H43" s="2">
        <f>+cvg[[#This Row],[UP€]]*cvg[[#This Row],[FINAL QTY]]</f>
        <v>15.42</v>
      </c>
    </row>
    <row r="44" spans="1:8" x14ac:dyDescent="0.25">
      <c r="A44" s="1" t="s">
        <v>303</v>
      </c>
      <c r="B44" s="1" t="s">
        <v>303</v>
      </c>
      <c r="C44" s="1" t="s">
        <v>32</v>
      </c>
      <c r="D44" s="1"/>
      <c r="E44" s="4">
        <v>2</v>
      </c>
      <c r="F44" s="4">
        <v>2</v>
      </c>
      <c r="G44" s="5">
        <v>49.42</v>
      </c>
      <c r="H44" s="2">
        <f>+cvg[[#This Row],[UP€]]*cvg[[#This Row],[FINAL QTY]]</f>
        <v>98.84</v>
      </c>
    </row>
    <row r="45" spans="1:8" x14ac:dyDescent="0.25">
      <c r="A45" s="1" t="s">
        <v>304</v>
      </c>
      <c r="B45" s="1" t="s">
        <v>304</v>
      </c>
      <c r="C45" s="1" t="s">
        <v>33</v>
      </c>
      <c r="D45" s="1"/>
      <c r="E45" s="4">
        <v>5</v>
      </c>
      <c r="F45" s="4">
        <v>5</v>
      </c>
      <c r="G45" s="5">
        <v>9.06</v>
      </c>
      <c r="H45" s="2">
        <f>+cvg[[#This Row],[UP€]]*cvg[[#This Row],[FINAL QTY]]</f>
        <v>45.300000000000004</v>
      </c>
    </row>
    <row r="46" spans="1:8" x14ac:dyDescent="0.25">
      <c r="A46" s="1" t="s">
        <v>305</v>
      </c>
      <c r="B46" s="1" t="s">
        <v>305</v>
      </c>
      <c r="C46" s="1" t="s">
        <v>34</v>
      </c>
      <c r="D46" s="1"/>
      <c r="E46" s="4">
        <v>2</v>
      </c>
      <c r="F46" s="4">
        <v>2</v>
      </c>
      <c r="G46" s="5">
        <v>16.71</v>
      </c>
      <c r="H46" s="2">
        <f>+cvg[[#This Row],[UP€]]*cvg[[#This Row],[FINAL QTY]]</f>
        <v>33.42</v>
      </c>
    </row>
    <row r="47" spans="1:8" x14ac:dyDescent="0.25">
      <c r="A47" s="1" t="s">
        <v>306</v>
      </c>
      <c r="B47" s="1" t="s">
        <v>306</v>
      </c>
      <c r="C47" s="1" t="s">
        <v>35</v>
      </c>
      <c r="D47" s="1"/>
      <c r="E47" s="4">
        <v>1</v>
      </c>
      <c r="F47" s="4">
        <v>1</v>
      </c>
      <c r="G47" s="5">
        <v>16.989999999999998</v>
      </c>
      <c r="H47" s="2">
        <f>+cvg[[#This Row],[UP€]]*cvg[[#This Row],[FINAL QTY]]</f>
        <v>16.989999999999998</v>
      </c>
    </row>
    <row r="48" spans="1:8" x14ac:dyDescent="0.25">
      <c r="A48" s="1" t="s">
        <v>307</v>
      </c>
      <c r="B48" s="1" t="s">
        <v>307</v>
      </c>
      <c r="C48" s="1" t="s">
        <v>36</v>
      </c>
      <c r="D48" s="1"/>
      <c r="E48" s="4">
        <v>2</v>
      </c>
      <c r="F48" s="4">
        <v>2</v>
      </c>
      <c r="G48" s="5">
        <v>32.81</v>
      </c>
      <c r="H48" s="2">
        <f>+cvg[[#This Row],[UP€]]*cvg[[#This Row],[FINAL QTY]]</f>
        <v>65.62</v>
      </c>
    </row>
    <row r="49" spans="1:8" x14ac:dyDescent="0.25">
      <c r="A49" s="1" t="s">
        <v>308</v>
      </c>
      <c r="B49" s="1" t="s">
        <v>308</v>
      </c>
      <c r="C49" s="1" t="s">
        <v>37</v>
      </c>
      <c r="D49" s="1"/>
      <c r="E49" s="4">
        <v>2</v>
      </c>
      <c r="F49" s="4">
        <v>2</v>
      </c>
      <c r="G49" s="5">
        <v>163.54</v>
      </c>
      <c r="H49" s="2">
        <f>+cvg[[#This Row],[UP€]]*cvg[[#This Row],[FINAL QTY]]</f>
        <v>327.08</v>
      </c>
    </row>
    <row r="50" spans="1:8" x14ac:dyDescent="0.25">
      <c r="A50" s="1" t="s">
        <v>309</v>
      </c>
      <c r="B50" s="1" t="s">
        <v>309</v>
      </c>
      <c r="C50" s="1" t="s">
        <v>38</v>
      </c>
      <c r="D50" s="1"/>
      <c r="E50" s="4">
        <v>2</v>
      </c>
      <c r="F50" s="4">
        <v>2</v>
      </c>
      <c r="G50" s="5">
        <v>23.91</v>
      </c>
      <c r="H50" s="2">
        <f>+cvg[[#This Row],[UP€]]*cvg[[#This Row],[FINAL QTY]]</f>
        <v>47.82</v>
      </c>
    </row>
    <row r="51" spans="1:8" x14ac:dyDescent="0.25">
      <c r="A51" s="1" t="s">
        <v>310</v>
      </c>
      <c r="B51" s="1" t="s">
        <v>310</v>
      </c>
      <c r="C51" s="1" t="s">
        <v>39</v>
      </c>
      <c r="D51" s="1"/>
      <c r="E51" s="4">
        <v>1</v>
      </c>
      <c r="F51" s="4">
        <v>1</v>
      </c>
      <c r="G51" s="5">
        <v>151.31</v>
      </c>
      <c r="H51" s="2">
        <f>+cvg[[#This Row],[UP€]]*cvg[[#This Row],[FINAL QTY]]</f>
        <v>151.31</v>
      </c>
    </row>
    <row r="52" spans="1:8" x14ac:dyDescent="0.25">
      <c r="A52" s="1" t="s">
        <v>311</v>
      </c>
      <c r="B52" s="1" t="s">
        <v>311</v>
      </c>
      <c r="C52" s="1" t="s">
        <v>40</v>
      </c>
      <c r="D52" s="1"/>
      <c r="E52" s="4">
        <v>10</v>
      </c>
      <c r="F52" s="4">
        <v>10</v>
      </c>
      <c r="G52" s="5">
        <v>13.94</v>
      </c>
      <c r="H52" s="2">
        <f>+cvg[[#This Row],[UP€]]*cvg[[#This Row],[FINAL QTY]]</f>
        <v>139.4</v>
      </c>
    </row>
    <row r="53" spans="1:8" x14ac:dyDescent="0.25">
      <c r="A53" s="1" t="s">
        <v>312</v>
      </c>
      <c r="B53" s="1" t="s">
        <v>312</v>
      </c>
      <c r="C53" s="1" t="s">
        <v>41</v>
      </c>
      <c r="D53" s="1"/>
      <c r="E53" s="4">
        <v>1</v>
      </c>
      <c r="F53" s="4">
        <v>1</v>
      </c>
      <c r="G53" s="5">
        <v>85.32</v>
      </c>
      <c r="H53" s="2">
        <f>+cvg[[#This Row],[UP€]]*cvg[[#This Row],[FINAL QTY]]</f>
        <v>85.32</v>
      </c>
    </row>
    <row r="54" spans="1:8" x14ac:dyDescent="0.25">
      <c r="A54" s="1" t="s">
        <v>313</v>
      </c>
      <c r="B54" s="1" t="s">
        <v>313</v>
      </c>
      <c r="C54" s="1" t="s">
        <v>42</v>
      </c>
      <c r="D54" s="1"/>
      <c r="E54" s="4">
        <v>1</v>
      </c>
      <c r="F54" s="4">
        <v>1</v>
      </c>
      <c r="G54" s="5">
        <v>32.79</v>
      </c>
      <c r="H54" s="2">
        <f>+cvg[[#This Row],[UP€]]*cvg[[#This Row],[FINAL QTY]]</f>
        <v>32.79</v>
      </c>
    </row>
    <row r="55" spans="1:8" x14ac:dyDescent="0.25">
      <c r="A55" s="1" t="s">
        <v>314</v>
      </c>
      <c r="B55" s="1" t="s">
        <v>314</v>
      </c>
      <c r="C55" s="1" t="s">
        <v>42</v>
      </c>
      <c r="D55" s="1"/>
      <c r="E55" s="4">
        <v>1</v>
      </c>
      <c r="F55" s="4">
        <v>1</v>
      </c>
      <c r="G55" s="5">
        <v>32.79</v>
      </c>
      <c r="H55" s="2">
        <f>+cvg[[#This Row],[UP€]]*cvg[[#This Row],[FINAL QTY]]</f>
        <v>32.79</v>
      </c>
    </row>
    <row r="56" spans="1:8" x14ac:dyDescent="0.25">
      <c r="A56" s="1" t="s">
        <v>315</v>
      </c>
      <c r="B56" s="1" t="s">
        <v>315</v>
      </c>
      <c r="C56" s="1" t="s">
        <v>43</v>
      </c>
      <c r="D56" s="1"/>
      <c r="E56" s="4">
        <v>2</v>
      </c>
      <c r="F56" s="4">
        <v>2</v>
      </c>
      <c r="G56" s="5">
        <v>14.27</v>
      </c>
      <c r="H56" s="2">
        <f>+cvg[[#This Row],[UP€]]*cvg[[#This Row],[FINAL QTY]]</f>
        <v>28.54</v>
      </c>
    </row>
    <row r="57" spans="1:8" x14ac:dyDescent="0.25">
      <c r="A57" s="1" t="s">
        <v>316</v>
      </c>
      <c r="B57" s="1" t="s">
        <v>316</v>
      </c>
      <c r="C57" s="1" t="s">
        <v>42</v>
      </c>
      <c r="D57" s="1"/>
      <c r="E57" s="4">
        <v>2</v>
      </c>
      <c r="F57" s="4">
        <v>2</v>
      </c>
      <c r="G57" s="5">
        <v>22.28</v>
      </c>
      <c r="H57" s="2">
        <f>+cvg[[#This Row],[UP€]]*cvg[[#This Row],[FINAL QTY]]</f>
        <v>44.56</v>
      </c>
    </row>
    <row r="58" spans="1:8" x14ac:dyDescent="0.25">
      <c r="A58" s="1" t="s">
        <v>317</v>
      </c>
      <c r="B58" s="1" t="s">
        <v>317</v>
      </c>
      <c r="C58" s="1" t="s">
        <v>44</v>
      </c>
      <c r="D58" s="1"/>
      <c r="E58" s="4">
        <v>5</v>
      </c>
      <c r="F58" s="4">
        <v>5</v>
      </c>
      <c r="G58" s="5">
        <v>26.42</v>
      </c>
      <c r="H58" s="2">
        <f>+cvg[[#This Row],[UP€]]*cvg[[#This Row],[FINAL QTY]]</f>
        <v>132.10000000000002</v>
      </c>
    </row>
    <row r="59" spans="1:8" x14ac:dyDescent="0.25">
      <c r="A59" s="1" t="s">
        <v>318</v>
      </c>
      <c r="B59" s="1" t="s">
        <v>318</v>
      </c>
      <c r="C59" s="1" t="s">
        <v>45</v>
      </c>
      <c r="D59" s="1"/>
      <c r="E59" s="4">
        <v>1</v>
      </c>
      <c r="F59" s="4">
        <v>1</v>
      </c>
      <c r="G59" s="5">
        <v>76.97</v>
      </c>
      <c r="H59" s="2">
        <f>+cvg[[#This Row],[UP€]]*cvg[[#This Row],[FINAL QTY]]</f>
        <v>76.97</v>
      </c>
    </row>
    <row r="60" spans="1:8" x14ac:dyDescent="0.25">
      <c r="A60" s="1" t="s">
        <v>319</v>
      </c>
      <c r="B60" s="1" t="s">
        <v>319</v>
      </c>
      <c r="C60" s="1" t="s">
        <v>46</v>
      </c>
      <c r="D60" s="1"/>
      <c r="E60" s="4">
        <v>1</v>
      </c>
      <c r="F60" s="4">
        <v>1</v>
      </c>
      <c r="G60" s="5">
        <v>129.30000000000001</v>
      </c>
      <c r="H60" s="2">
        <f>+cvg[[#This Row],[UP€]]*cvg[[#This Row],[FINAL QTY]]</f>
        <v>129.30000000000001</v>
      </c>
    </row>
    <row r="61" spans="1:8" x14ac:dyDescent="0.25">
      <c r="A61" s="1" t="s">
        <v>320</v>
      </c>
      <c r="B61" s="1" t="s">
        <v>320</v>
      </c>
      <c r="C61" s="1" t="s">
        <v>47</v>
      </c>
      <c r="D61" s="1"/>
      <c r="E61" s="4">
        <v>1</v>
      </c>
      <c r="F61" s="4">
        <v>1</v>
      </c>
      <c r="G61" s="5">
        <v>78.239999999999995</v>
      </c>
      <c r="H61" s="2">
        <f>+cvg[[#This Row],[UP€]]*cvg[[#This Row],[FINAL QTY]]</f>
        <v>78.239999999999995</v>
      </c>
    </row>
    <row r="62" spans="1:8" x14ac:dyDescent="0.25">
      <c r="A62" s="1" t="s">
        <v>321</v>
      </c>
      <c r="B62" s="1" t="s">
        <v>321</v>
      </c>
      <c r="C62" s="1" t="s">
        <v>48</v>
      </c>
      <c r="D62" s="1"/>
      <c r="E62" s="4">
        <v>1</v>
      </c>
      <c r="F62" s="4">
        <v>1</v>
      </c>
      <c r="G62" s="5">
        <v>10.02</v>
      </c>
      <c r="H62" s="2">
        <f>+cvg[[#This Row],[UP€]]*cvg[[#This Row],[FINAL QTY]]</f>
        <v>10.02</v>
      </c>
    </row>
    <row r="63" spans="1:8" x14ac:dyDescent="0.25">
      <c r="A63" s="1" t="s">
        <v>322</v>
      </c>
      <c r="B63" s="1" t="s">
        <v>322</v>
      </c>
      <c r="C63" s="1" t="s">
        <v>49</v>
      </c>
      <c r="D63" s="1"/>
      <c r="E63" s="4">
        <v>1</v>
      </c>
      <c r="F63" s="4">
        <v>1</v>
      </c>
      <c r="G63" s="5">
        <v>336.33</v>
      </c>
      <c r="H63" s="2">
        <f>+cvg[[#This Row],[UP€]]*cvg[[#This Row],[FINAL QTY]]</f>
        <v>336.33</v>
      </c>
    </row>
    <row r="64" spans="1:8" x14ac:dyDescent="0.25">
      <c r="A64" s="1" t="s">
        <v>323</v>
      </c>
      <c r="B64" s="1" t="s">
        <v>323</v>
      </c>
      <c r="C64" s="1" t="s">
        <v>50</v>
      </c>
      <c r="D64" s="1"/>
      <c r="E64" s="4">
        <v>1</v>
      </c>
      <c r="F64" s="4">
        <v>1</v>
      </c>
      <c r="G64" s="5">
        <v>46.99</v>
      </c>
      <c r="H64" s="2">
        <f>+cvg[[#This Row],[UP€]]*cvg[[#This Row],[FINAL QTY]]</f>
        <v>46.99</v>
      </c>
    </row>
    <row r="65" spans="1:8" x14ac:dyDescent="0.25">
      <c r="A65" s="1" t="s">
        <v>324</v>
      </c>
      <c r="B65" s="1" t="s">
        <v>324</v>
      </c>
      <c r="C65" s="1" t="s">
        <v>51</v>
      </c>
      <c r="D65" s="1"/>
      <c r="E65" s="4">
        <v>2</v>
      </c>
      <c r="F65" s="4">
        <v>2</v>
      </c>
      <c r="G65" s="5">
        <v>60.03</v>
      </c>
      <c r="H65" s="2">
        <f>+cvg[[#This Row],[UP€]]*cvg[[#This Row],[FINAL QTY]]</f>
        <v>120.06</v>
      </c>
    </row>
    <row r="66" spans="1:8" x14ac:dyDescent="0.25">
      <c r="A66" s="1" t="s">
        <v>325</v>
      </c>
      <c r="B66" s="1" t="s">
        <v>325</v>
      </c>
      <c r="C66" s="1" t="s">
        <v>1</v>
      </c>
      <c r="D66" s="1"/>
      <c r="E66" s="4">
        <v>5</v>
      </c>
      <c r="F66" s="4">
        <v>5</v>
      </c>
      <c r="G66" s="5">
        <v>19.940000000000001</v>
      </c>
      <c r="H66" s="2">
        <f>+cvg[[#This Row],[UP€]]*cvg[[#This Row],[FINAL QTY]]</f>
        <v>99.7</v>
      </c>
    </row>
    <row r="67" spans="1:8" x14ac:dyDescent="0.25">
      <c r="A67" s="1" t="s">
        <v>326</v>
      </c>
      <c r="B67" s="1" t="s">
        <v>326</v>
      </c>
      <c r="C67" s="1" t="s">
        <v>52</v>
      </c>
      <c r="D67" s="1"/>
      <c r="E67" s="4">
        <v>3</v>
      </c>
      <c r="F67" s="4">
        <v>3</v>
      </c>
      <c r="G67" s="5">
        <v>173</v>
      </c>
      <c r="H67" s="2">
        <f>+cvg[[#This Row],[UP€]]*cvg[[#This Row],[FINAL QTY]]</f>
        <v>519</v>
      </c>
    </row>
    <row r="68" spans="1:8" x14ac:dyDescent="0.25">
      <c r="A68" s="1" t="s">
        <v>327</v>
      </c>
      <c r="B68" s="1" t="s">
        <v>327</v>
      </c>
      <c r="C68" s="1" t="s">
        <v>53</v>
      </c>
      <c r="D68" s="1"/>
      <c r="E68" s="4">
        <v>1</v>
      </c>
      <c r="F68" s="4">
        <v>1</v>
      </c>
      <c r="G68" s="5">
        <v>386.2</v>
      </c>
      <c r="H68" s="2">
        <f>+cvg[[#This Row],[UP€]]*cvg[[#This Row],[FINAL QTY]]</f>
        <v>386.2</v>
      </c>
    </row>
    <row r="69" spans="1:8" x14ac:dyDescent="0.25">
      <c r="A69" s="1" t="s">
        <v>328</v>
      </c>
      <c r="B69" s="1" t="s">
        <v>328</v>
      </c>
      <c r="C69" s="1" t="s">
        <v>54</v>
      </c>
      <c r="D69" s="1"/>
      <c r="E69" s="4">
        <v>3</v>
      </c>
      <c r="F69" s="4">
        <v>3</v>
      </c>
      <c r="G69" s="5">
        <v>17.7</v>
      </c>
      <c r="H69" s="2">
        <f>+cvg[[#This Row],[UP€]]*cvg[[#This Row],[FINAL QTY]]</f>
        <v>53.099999999999994</v>
      </c>
    </row>
    <row r="70" spans="1:8" x14ac:dyDescent="0.25">
      <c r="A70" s="1" t="s">
        <v>329</v>
      </c>
      <c r="B70" s="1" t="s">
        <v>329</v>
      </c>
      <c r="C70" s="1" t="s">
        <v>55</v>
      </c>
      <c r="D70" s="1"/>
      <c r="E70" s="4">
        <v>2</v>
      </c>
      <c r="F70" s="4">
        <v>2</v>
      </c>
      <c r="G70" s="5">
        <v>18.809999999999999</v>
      </c>
      <c r="H70" s="2">
        <f>+cvg[[#This Row],[UP€]]*cvg[[#This Row],[FINAL QTY]]</f>
        <v>37.619999999999997</v>
      </c>
    </row>
    <row r="71" spans="1:8" x14ac:dyDescent="0.25">
      <c r="A71" s="1" t="s">
        <v>330</v>
      </c>
      <c r="B71" s="1" t="s">
        <v>330</v>
      </c>
      <c r="C71" s="1" t="s">
        <v>56</v>
      </c>
      <c r="D71" s="1"/>
      <c r="E71" s="4">
        <v>1</v>
      </c>
      <c r="F71" s="4">
        <v>1</v>
      </c>
      <c r="G71" s="5">
        <v>34.43</v>
      </c>
      <c r="H71" s="2">
        <f>+cvg[[#This Row],[UP€]]*cvg[[#This Row],[FINAL QTY]]</f>
        <v>34.43</v>
      </c>
    </row>
    <row r="72" spans="1:8" x14ac:dyDescent="0.25">
      <c r="A72" s="1" t="s">
        <v>331</v>
      </c>
      <c r="B72" s="1" t="s">
        <v>331</v>
      </c>
      <c r="C72" s="1" t="s">
        <v>57</v>
      </c>
      <c r="D72" s="1"/>
      <c r="E72" s="4">
        <v>2</v>
      </c>
      <c r="F72" s="4">
        <v>2</v>
      </c>
      <c r="G72" s="5">
        <v>48.7</v>
      </c>
      <c r="H72" s="2">
        <f>+cvg[[#This Row],[UP€]]*cvg[[#This Row],[FINAL QTY]]</f>
        <v>97.4</v>
      </c>
    </row>
    <row r="73" spans="1:8" x14ac:dyDescent="0.25">
      <c r="A73" s="1" t="s">
        <v>332</v>
      </c>
      <c r="B73" s="1" t="s">
        <v>332</v>
      </c>
      <c r="C73" s="1" t="s">
        <v>58</v>
      </c>
      <c r="D73" s="1"/>
      <c r="E73" s="4">
        <v>1</v>
      </c>
      <c r="F73" s="4">
        <v>1</v>
      </c>
      <c r="G73" s="5">
        <v>41.13</v>
      </c>
      <c r="H73" s="2">
        <f>+cvg[[#This Row],[UP€]]*cvg[[#This Row],[FINAL QTY]]</f>
        <v>41.13</v>
      </c>
    </row>
    <row r="74" spans="1:8" x14ac:dyDescent="0.25">
      <c r="A74" s="1" t="s">
        <v>333</v>
      </c>
      <c r="B74" s="1" t="s">
        <v>333</v>
      </c>
      <c r="C74" s="1" t="s">
        <v>57</v>
      </c>
      <c r="D74" s="1"/>
      <c r="E74" s="4">
        <v>1</v>
      </c>
      <c r="F74" s="4">
        <v>1</v>
      </c>
      <c r="G74" s="5">
        <v>11.45</v>
      </c>
      <c r="H74" s="2">
        <f>+cvg[[#This Row],[UP€]]*cvg[[#This Row],[FINAL QTY]]</f>
        <v>11.45</v>
      </c>
    </row>
    <row r="75" spans="1:8" x14ac:dyDescent="0.25">
      <c r="A75" s="1" t="s">
        <v>334</v>
      </c>
      <c r="B75" s="1" t="s">
        <v>334</v>
      </c>
      <c r="C75" s="1" t="s">
        <v>59</v>
      </c>
      <c r="D75" s="1"/>
      <c r="E75" s="4">
        <v>2</v>
      </c>
      <c r="F75" s="4">
        <v>2</v>
      </c>
      <c r="G75" s="5">
        <v>23.28</v>
      </c>
      <c r="H75" s="2">
        <f>+cvg[[#This Row],[UP€]]*cvg[[#This Row],[FINAL QTY]]</f>
        <v>46.56</v>
      </c>
    </row>
    <row r="76" spans="1:8" x14ac:dyDescent="0.25">
      <c r="A76" s="1" t="s">
        <v>335</v>
      </c>
      <c r="B76" s="1" t="s">
        <v>335</v>
      </c>
      <c r="C76" s="1" t="s">
        <v>53</v>
      </c>
      <c r="D76" s="1"/>
      <c r="E76" s="4">
        <v>1</v>
      </c>
      <c r="F76" s="4">
        <v>1</v>
      </c>
      <c r="G76" s="5">
        <v>193.53</v>
      </c>
      <c r="H76" s="2">
        <f>+cvg[[#This Row],[UP€]]*cvg[[#This Row],[FINAL QTY]]</f>
        <v>193.53</v>
      </c>
    </row>
    <row r="77" spans="1:8" x14ac:dyDescent="0.25">
      <c r="A77" s="1" t="s">
        <v>336</v>
      </c>
      <c r="B77" s="1" t="s">
        <v>336</v>
      </c>
      <c r="C77" s="1" t="s">
        <v>45</v>
      </c>
      <c r="D77" s="1"/>
      <c r="E77" s="4">
        <v>1</v>
      </c>
      <c r="F77" s="4">
        <v>1</v>
      </c>
      <c r="G77" s="5">
        <v>33.94</v>
      </c>
      <c r="H77" s="2">
        <f>+cvg[[#This Row],[UP€]]*cvg[[#This Row],[FINAL QTY]]</f>
        <v>33.94</v>
      </c>
    </row>
    <row r="78" spans="1:8" x14ac:dyDescent="0.25">
      <c r="A78" s="1" t="s">
        <v>337</v>
      </c>
      <c r="B78" s="1" t="s">
        <v>337</v>
      </c>
      <c r="C78" s="1" t="s">
        <v>60</v>
      </c>
      <c r="D78" s="1"/>
      <c r="E78" s="4">
        <v>8</v>
      </c>
      <c r="F78" s="4">
        <v>8</v>
      </c>
      <c r="G78" s="5">
        <v>30.16</v>
      </c>
      <c r="H78" s="2">
        <f>+cvg[[#This Row],[UP€]]*cvg[[#This Row],[FINAL QTY]]</f>
        <v>241.28</v>
      </c>
    </row>
    <row r="79" spans="1:8" x14ac:dyDescent="0.25">
      <c r="A79" s="1" t="s">
        <v>338</v>
      </c>
      <c r="B79" s="1" t="s">
        <v>338</v>
      </c>
      <c r="C79" s="1" t="s">
        <v>49</v>
      </c>
      <c r="D79" s="1"/>
      <c r="E79" s="4">
        <v>1</v>
      </c>
      <c r="F79" s="4">
        <v>1</v>
      </c>
      <c r="G79" s="5">
        <v>209.78</v>
      </c>
      <c r="H79" s="2">
        <f>+cvg[[#This Row],[UP€]]*cvg[[#This Row],[FINAL QTY]]</f>
        <v>209.78</v>
      </c>
    </row>
    <row r="80" spans="1:8" x14ac:dyDescent="0.25">
      <c r="A80" s="1" t="s">
        <v>339</v>
      </c>
      <c r="B80" s="1" t="s">
        <v>339</v>
      </c>
      <c r="C80" s="1" t="s">
        <v>53</v>
      </c>
      <c r="D80" s="1"/>
      <c r="E80" s="4">
        <v>1</v>
      </c>
      <c r="F80" s="4">
        <v>1</v>
      </c>
      <c r="G80" s="5">
        <v>260.83999999999997</v>
      </c>
      <c r="H80" s="2">
        <f>+cvg[[#This Row],[UP€]]*cvg[[#This Row],[FINAL QTY]]</f>
        <v>260.83999999999997</v>
      </c>
    </row>
    <row r="81" spans="1:8" x14ac:dyDescent="0.25">
      <c r="A81" s="1" t="s">
        <v>340</v>
      </c>
      <c r="B81" s="1" t="s">
        <v>340</v>
      </c>
      <c r="C81" s="1" t="s">
        <v>53</v>
      </c>
      <c r="D81" s="1"/>
      <c r="E81" s="4">
        <v>1</v>
      </c>
      <c r="F81" s="4">
        <v>1</v>
      </c>
      <c r="G81" s="5">
        <v>91.85</v>
      </c>
      <c r="H81" s="2">
        <f>+cvg[[#This Row],[UP€]]*cvg[[#This Row],[FINAL QTY]]</f>
        <v>91.85</v>
      </c>
    </row>
    <row r="82" spans="1:8" x14ac:dyDescent="0.25">
      <c r="A82" s="1" t="s">
        <v>341</v>
      </c>
      <c r="B82" s="1" t="s">
        <v>341</v>
      </c>
      <c r="C82" s="1" t="s">
        <v>61</v>
      </c>
      <c r="D82" s="1"/>
      <c r="E82" s="4">
        <v>1</v>
      </c>
      <c r="F82" s="4">
        <v>1</v>
      </c>
      <c r="G82" s="5">
        <v>42.47</v>
      </c>
      <c r="H82" s="2">
        <f>+cvg[[#This Row],[UP€]]*cvg[[#This Row],[FINAL QTY]]</f>
        <v>42.47</v>
      </c>
    </row>
    <row r="83" spans="1:8" x14ac:dyDescent="0.25">
      <c r="A83" s="1" t="s">
        <v>342</v>
      </c>
      <c r="B83" s="1" t="s">
        <v>342</v>
      </c>
      <c r="C83" s="1" t="s">
        <v>61</v>
      </c>
      <c r="D83" s="1"/>
      <c r="E83" s="4">
        <v>1</v>
      </c>
      <c r="F83" s="4">
        <v>1</v>
      </c>
      <c r="G83" s="5">
        <v>42.47</v>
      </c>
      <c r="H83" s="2">
        <f>+cvg[[#This Row],[UP€]]*cvg[[#This Row],[FINAL QTY]]</f>
        <v>42.47</v>
      </c>
    </row>
    <row r="84" spans="1:8" x14ac:dyDescent="0.25">
      <c r="A84" s="1" t="s">
        <v>343</v>
      </c>
      <c r="B84" s="1" t="s">
        <v>343</v>
      </c>
      <c r="C84" s="1" t="s">
        <v>62</v>
      </c>
      <c r="D84" s="1"/>
      <c r="E84" s="4">
        <v>1</v>
      </c>
      <c r="F84" s="4">
        <v>1</v>
      </c>
      <c r="G84" s="5">
        <v>10.79</v>
      </c>
      <c r="H84" s="2">
        <f>+cvg[[#This Row],[UP€]]*cvg[[#This Row],[FINAL QTY]]</f>
        <v>10.79</v>
      </c>
    </row>
    <row r="85" spans="1:8" x14ac:dyDescent="0.25">
      <c r="A85" s="1" t="s">
        <v>344</v>
      </c>
      <c r="B85" s="1" t="s">
        <v>344</v>
      </c>
      <c r="C85" s="1" t="s">
        <v>63</v>
      </c>
      <c r="D85" s="1" t="s">
        <v>701</v>
      </c>
      <c r="E85" s="4">
        <v>20</v>
      </c>
      <c r="F85" s="4">
        <v>20</v>
      </c>
      <c r="H85" s="2"/>
    </row>
    <row r="86" spans="1:8" x14ac:dyDescent="0.25">
      <c r="A86" s="1" t="s">
        <v>345</v>
      </c>
      <c r="B86" s="1" t="s">
        <v>345</v>
      </c>
      <c r="C86" s="1" t="s">
        <v>52</v>
      </c>
      <c r="D86" s="1"/>
      <c r="E86" s="4">
        <v>5</v>
      </c>
      <c r="F86" s="4">
        <v>5</v>
      </c>
      <c r="G86" s="5">
        <v>157.28</v>
      </c>
      <c r="H86" s="2">
        <f>+cvg[[#This Row],[UP€]]*cvg[[#This Row],[FINAL QTY]]</f>
        <v>786.4</v>
      </c>
    </row>
    <row r="87" spans="1:8" x14ac:dyDescent="0.25">
      <c r="A87" s="1" t="s">
        <v>346</v>
      </c>
      <c r="B87" s="1" t="s">
        <v>346</v>
      </c>
      <c r="C87" s="1" t="s">
        <v>64</v>
      </c>
      <c r="D87" s="1"/>
      <c r="E87" s="4">
        <v>5</v>
      </c>
      <c r="F87" s="4">
        <v>5</v>
      </c>
      <c r="G87" s="5">
        <v>4.88</v>
      </c>
      <c r="H87" s="2">
        <f>+cvg[[#This Row],[UP€]]*cvg[[#This Row],[FINAL QTY]]</f>
        <v>24.4</v>
      </c>
    </row>
    <row r="88" spans="1:8" x14ac:dyDescent="0.25">
      <c r="A88" s="1" t="s">
        <v>347</v>
      </c>
      <c r="B88" s="1" t="s">
        <v>347</v>
      </c>
      <c r="C88" s="1" t="s">
        <v>65</v>
      </c>
      <c r="D88" s="1"/>
      <c r="E88" s="4">
        <v>1</v>
      </c>
      <c r="F88" s="4">
        <v>1</v>
      </c>
      <c r="G88" s="5">
        <v>45.76</v>
      </c>
      <c r="H88" s="2">
        <f>+cvg[[#This Row],[UP€]]*cvg[[#This Row],[FINAL QTY]]</f>
        <v>45.76</v>
      </c>
    </row>
    <row r="89" spans="1:8" x14ac:dyDescent="0.25">
      <c r="A89" s="1" t="s">
        <v>348</v>
      </c>
      <c r="B89" s="1" t="s">
        <v>348</v>
      </c>
      <c r="C89" s="1" t="s">
        <v>65</v>
      </c>
      <c r="D89" s="1"/>
      <c r="E89" s="4">
        <v>1</v>
      </c>
      <c r="F89" s="4">
        <v>1</v>
      </c>
      <c r="G89" s="5">
        <v>30.42</v>
      </c>
      <c r="H89" s="2">
        <f>+cvg[[#This Row],[UP€]]*cvg[[#This Row],[FINAL QTY]]</f>
        <v>30.42</v>
      </c>
    </row>
    <row r="90" spans="1:8" x14ac:dyDescent="0.25">
      <c r="A90" s="1" t="s">
        <v>349</v>
      </c>
      <c r="B90" s="1" t="s">
        <v>349</v>
      </c>
      <c r="C90" s="1" t="s">
        <v>53</v>
      </c>
      <c r="D90" s="1"/>
      <c r="E90" s="4">
        <v>1</v>
      </c>
      <c r="F90" s="4">
        <v>1</v>
      </c>
      <c r="G90" s="5">
        <v>405.52</v>
      </c>
      <c r="H90" s="2">
        <f>+cvg[[#This Row],[UP€]]*cvg[[#This Row],[FINAL QTY]]</f>
        <v>405.52</v>
      </c>
    </row>
    <row r="91" spans="1:8" x14ac:dyDescent="0.25">
      <c r="A91" s="1" t="s">
        <v>350</v>
      </c>
      <c r="B91" s="1" t="s">
        <v>350</v>
      </c>
      <c r="C91" s="1" t="s">
        <v>66</v>
      </c>
      <c r="D91" s="1"/>
      <c r="E91" s="4">
        <v>5</v>
      </c>
      <c r="F91" s="4">
        <v>5</v>
      </c>
      <c r="G91" s="5">
        <v>50.53</v>
      </c>
      <c r="H91" s="2">
        <f>+cvg[[#This Row],[UP€]]*cvg[[#This Row],[FINAL QTY]]</f>
        <v>252.65</v>
      </c>
    </row>
    <row r="92" spans="1:8" x14ac:dyDescent="0.25">
      <c r="A92" s="1" t="s">
        <v>351</v>
      </c>
      <c r="B92" s="1" t="s">
        <v>351</v>
      </c>
      <c r="C92" s="1" t="s">
        <v>66</v>
      </c>
      <c r="D92" s="1"/>
      <c r="E92" s="4">
        <v>5</v>
      </c>
      <c r="F92" s="4">
        <v>5</v>
      </c>
      <c r="G92" s="5">
        <v>62.86</v>
      </c>
      <c r="H92" s="2">
        <f>+cvg[[#This Row],[UP€]]*cvg[[#This Row],[FINAL QTY]]</f>
        <v>314.3</v>
      </c>
    </row>
    <row r="93" spans="1:8" x14ac:dyDescent="0.25">
      <c r="A93" s="1" t="s">
        <v>352</v>
      </c>
      <c r="B93" s="1" t="s">
        <v>352</v>
      </c>
      <c r="C93" s="1" t="s">
        <v>67</v>
      </c>
      <c r="D93" s="1"/>
      <c r="E93" s="4">
        <v>1</v>
      </c>
      <c r="F93" s="4">
        <v>1</v>
      </c>
      <c r="G93" s="5">
        <v>231.2</v>
      </c>
      <c r="H93" s="2">
        <f>+cvg[[#This Row],[UP€]]*cvg[[#This Row],[FINAL QTY]]</f>
        <v>231.2</v>
      </c>
    </row>
    <row r="94" spans="1:8" x14ac:dyDescent="0.25">
      <c r="A94" s="1" t="s">
        <v>353</v>
      </c>
      <c r="B94" s="1" t="s">
        <v>353</v>
      </c>
      <c r="C94" s="1" t="s">
        <v>68</v>
      </c>
      <c r="D94" s="1"/>
      <c r="E94" s="4">
        <v>6</v>
      </c>
      <c r="F94" s="4">
        <v>6</v>
      </c>
      <c r="G94" s="5">
        <v>12.35</v>
      </c>
      <c r="H94" s="2">
        <f>+cvg[[#This Row],[UP€]]*cvg[[#This Row],[FINAL QTY]]</f>
        <v>74.099999999999994</v>
      </c>
    </row>
    <row r="95" spans="1:8" x14ac:dyDescent="0.25">
      <c r="A95" s="1" t="s">
        <v>354</v>
      </c>
      <c r="B95" s="1" t="s">
        <v>354</v>
      </c>
      <c r="C95" s="1" t="s">
        <v>69</v>
      </c>
      <c r="D95" s="1"/>
      <c r="E95" s="4">
        <v>1</v>
      </c>
      <c r="F95" s="4">
        <v>1</v>
      </c>
      <c r="G95" s="5">
        <v>16.14</v>
      </c>
      <c r="H95" s="2">
        <f>+cvg[[#This Row],[UP€]]*cvg[[#This Row],[FINAL QTY]]</f>
        <v>16.14</v>
      </c>
    </row>
    <row r="96" spans="1:8" x14ac:dyDescent="0.25">
      <c r="A96" s="1" t="s">
        <v>355</v>
      </c>
      <c r="B96" s="1" t="s">
        <v>355</v>
      </c>
      <c r="C96" s="1" t="s">
        <v>70</v>
      </c>
      <c r="D96" s="1"/>
      <c r="E96" s="4">
        <v>1</v>
      </c>
      <c r="F96" s="4">
        <v>1</v>
      </c>
      <c r="G96" s="5">
        <v>181.45</v>
      </c>
      <c r="H96" s="2">
        <f>+cvg[[#This Row],[UP€]]*cvg[[#This Row],[FINAL QTY]]</f>
        <v>181.45</v>
      </c>
    </row>
    <row r="97" spans="1:8" x14ac:dyDescent="0.25">
      <c r="A97" s="1" t="s">
        <v>356</v>
      </c>
      <c r="B97" s="1" t="s">
        <v>356</v>
      </c>
      <c r="C97" s="1" t="s">
        <v>71</v>
      </c>
      <c r="D97" s="1"/>
      <c r="E97" s="4">
        <v>2</v>
      </c>
      <c r="F97" s="4">
        <v>2</v>
      </c>
      <c r="G97" s="5">
        <v>31.94</v>
      </c>
      <c r="H97" s="2">
        <f>+cvg[[#This Row],[UP€]]*cvg[[#This Row],[FINAL QTY]]</f>
        <v>63.88</v>
      </c>
    </row>
    <row r="98" spans="1:8" x14ac:dyDescent="0.25">
      <c r="A98" s="1" t="s">
        <v>357</v>
      </c>
      <c r="B98" s="1" t="s">
        <v>357</v>
      </c>
      <c r="C98" s="1" t="s">
        <v>15</v>
      </c>
      <c r="D98" s="1"/>
      <c r="E98" s="4">
        <v>5</v>
      </c>
      <c r="F98" s="4">
        <v>5</v>
      </c>
      <c r="G98" s="5">
        <v>30.97</v>
      </c>
      <c r="H98" s="2">
        <f>+cvg[[#This Row],[UP€]]*cvg[[#This Row],[FINAL QTY]]</f>
        <v>154.85</v>
      </c>
    </row>
    <row r="99" spans="1:8" x14ac:dyDescent="0.25">
      <c r="A99" s="1" t="s">
        <v>358</v>
      </c>
      <c r="B99" s="1" t="s">
        <v>358</v>
      </c>
      <c r="C99" s="1" t="s">
        <v>8</v>
      </c>
      <c r="D99" s="1"/>
      <c r="E99" s="4">
        <v>100</v>
      </c>
      <c r="F99" s="4">
        <v>100</v>
      </c>
      <c r="G99" s="5">
        <v>4.25</v>
      </c>
      <c r="H99" s="2">
        <f>+cvg[[#This Row],[UP€]]*cvg[[#This Row],[FINAL QTY]]</f>
        <v>425</v>
      </c>
    </row>
    <row r="100" spans="1:8" x14ac:dyDescent="0.25">
      <c r="A100" s="1" t="s">
        <v>359</v>
      </c>
      <c r="B100" s="1" t="s">
        <v>359</v>
      </c>
      <c r="C100" s="1" t="s">
        <v>72</v>
      </c>
      <c r="D100" s="1"/>
      <c r="E100" s="4">
        <v>5</v>
      </c>
      <c r="F100" s="4">
        <v>6</v>
      </c>
      <c r="G100" s="5">
        <v>2.87</v>
      </c>
      <c r="H100" s="2">
        <f>+cvg[[#This Row],[UP€]]*cvg[[#This Row],[FINAL QTY]]</f>
        <v>17.22</v>
      </c>
    </row>
    <row r="101" spans="1:8" x14ac:dyDescent="0.25">
      <c r="A101" s="1" t="s">
        <v>360</v>
      </c>
      <c r="B101" s="1" t="s">
        <v>360</v>
      </c>
      <c r="C101" s="1" t="s">
        <v>73</v>
      </c>
      <c r="D101" s="1"/>
      <c r="E101" s="4">
        <v>50</v>
      </c>
      <c r="F101" s="4">
        <v>50</v>
      </c>
      <c r="G101" s="5">
        <v>1.2</v>
      </c>
      <c r="H101" s="2">
        <f>+cvg[[#This Row],[UP€]]*cvg[[#This Row],[FINAL QTY]]</f>
        <v>60</v>
      </c>
    </row>
    <row r="102" spans="1:8" x14ac:dyDescent="0.25">
      <c r="A102" s="1" t="s">
        <v>361</v>
      </c>
      <c r="B102" s="1" t="s">
        <v>361</v>
      </c>
      <c r="C102" s="1" t="s">
        <v>74</v>
      </c>
      <c r="D102" s="1"/>
      <c r="E102" s="4">
        <v>5</v>
      </c>
      <c r="F102" s="4">
        <v>5</v>
      </c>
      <c r="G102" s="5">
        <v>99.76</v>
      </c>
      <c r="H102" s="2">
        <f>+cvg[[#This Row],[UP€]]*cvg[[#This Row],[FINAL QTY]]</f>
        <v>498.8</v>
      </c>
    </row>
    <row r="103" spans="1:8" x14ac:dyDescent="0.25">
      <c r="A103" s="1" t="s">
        <v>362</v>
      </c>
      <c r="B103" s="1" t="s">
        <v>362</v>
      </c>
      <c r="C103" s="1" t="s">
        <v>75</v>
      </c>
      <c r="D103" s="1"/>
      <c r="E103" s="4">
        <v>50</v>
      </c>
      <c r="F103" s="4">
        <v>50</v>
      </c>
      <c r="G103" s="5">
        <v>0.77700000000000002</v>
      </c>
      <c r="H103" s="2">
        <f>+cvg[[#This Row],[UP€]]*cvg[[#This Row],[FINAL QTY]]</f>
        <v>38.85</v>
      </c>
    </row>
    <row r="104" spans="1:8" x14ac:dyDescent="0.25">
      <c r="A104" s="1" t="s">
        <v>363</v>
      </c>
      <c r="B104" s="1" t="s">
        <v>363</v>
      </c>
      <c r="C104" s="1" t="s">
        <v>76</v>
      </c>
      <c r="D104" s="1"/>
      <c r="E104" s="4">
        <v>1</v>
      </c>
      <c r="F104" s="4">
        <v>1</v>
      </c>
      <c r="G104" s="5">
        <v>202.25310000000002</v>
      </c>
      <c r="H104" s="2">
        <f>+cvg[[#This Row],[UP€]]*cvg[[#This Row],[FINAL QTY]]</f>
        <v>202.25310000000002</v>
      </c>
    </row>
    <row r="105" spans="1:8" x14ac:dyDescent="0.25">
      <c r="A105" s="1" t="s">
        <v>364</v>
      </c>
      <c r="B105" s="1" t="s">
        <v>364</v>
      </c>
      <c r="C105" s="1" t="s">
        <v>76</v>
      </c>
      <c r="D105" s="1"/>
      <c r="E105" s="4">
        <v>1</v>
      </c>
      <c r="F105" s="4">
        <v>1</v>
      </c>
      <c r="G105" s="5">
        <v>202.25310000000002</v>
      </c>
      <c r="H105" s="2">
        <f>+cvg[[#This Row],[UP€]]*cvg[[#This Row],[FINAL QTY]]</f>
        <v>202.25310000000002</v>
      </c>
    </row>
    <row r="106" spans="1:8" x14ac:dyDescent="0.25">
      <c r="A106" s="1" t="s">
        <v>365</v>
      </c>
      <c r="B106" s="1" t="s">
        <v>365</v>
      </c>
      <c r="C106" s="1" t="s">
        <v>77</v>
      </c>
      <c r="D106" s="1"/>
      <c r="E106" s="4">
        <v>2</v>
      </c>
      <c r="F106" s="4">
        <v>2</v>
      </c>
      <c r="G106" s="5">
        <v>123.91</v>
      </c>
      <c r="H106" s="2">
        <f>+cvg[[#This Row],[UP€]]*cvg[[#This Row],[FINAL QTY]]</f>
        <v>247.82</v>
      </c>
    </row>
    <row r="107" spans="1:8" x14ac:dyDescent="0.25">
      <c r="A107" s="1" t="s">
        <v>366</v>
      </c>
      <c r="B107" s="1" t="s">
        <v>366</v>
      </c>
      <c r="C107" s="1" t="s">
        <v>78</v>
      </c>
      <c r="D107" s="1"/>
      <c r="E107" s="4">
        <v>1</v>
      </c>
      <c r="F107" s="4">
        <v>1</v>
      </c>
      <c r="G107" s="5">
        <v>164.65</v>
      </c>
      <c r="H107" s="2">
        <f>+cvg[[#This Row],[UP€]]*cvg[[#This Row],[FINAL QTY]]</f>
        <v>164.65</v>
      </c>
    </row>
    <row r="108" spans="1:8" x14ac:dyDescent="0.25">
      <c r="A108" s="1" t="s">
        <v>367</v>
      </c>
      <c r="B108" s="1" t="s">
        <v>367</v>
      </c>
      <c r="C108" s="1" t="s">
        <v>79</v>
      </c>
      <c r="D108" s="1"/>
      <c r="E108" s="4">
        <v>4</v>
      </c>
      <c r="F108" s="4">
        <v>4</v>
      </c>
      <c r="G108" s="5">
        <v>49.006500000000003</v>
      </c>
      <c r="H108" s="2">
        <f>+cvg[[#This Row],[UP€]]*cvg[[#This Row],[FINAL QTY]]</f>
        <v>196.02600000000001</v>
      </c>
    </row>
    <row r="109" spans="1:8" x14ac:dyDescent="0.25">
      <c r="A109" s="1" t="s">
        <v>368</v>
      </c>
      <c r="B109" s="1" t="s">
        <v>368</v>
      </c>
      <c r="C109" s="1" t="s">
        <v>80</v>
      </c>
      <c r="D109" s="1"/>
      <c r="E109" s="4">
        <v>2</v>
      </c>
      <c r="F109" s="4">
        <v>2</v>
      </c>
      <c r="G109" s="5">
        <v>8.7200000000000006</v>
      </c>
      <c r="H109" s="2">
        <f>+cvg[[#This Row],[UP€]]*cvg[[#This Row],[FINAL QTY]]</f>
        <v>17.440000000000001</v>
      </c>
    </row>
    <row r="110" spans="1:8" x14ac:dyDescent="0.25">
      <c r="A110" s="1" t="s">
        <v>369</v>
      </c>
      <c r="B110" s="1" t="s">
        <v>369</v>
      </c>
      <c r="C110" s="1" t="s">
        <v>49</v>
      </c>
      <c r="D110" s="1"/>
      <c r="E110" s="4">
        <v>1</v>
      </c>
      <c r="F110" s="4">
        <v>1</v>
      </c>
      <c r="G110" s="5">
        <v>360.07</v>
      </c>
      <c r="H110" s="2">
        <f>+cvg[[#This Row],[UP€]]*cvg[[#This Row],[FINAL QTY]]</f>
        <v>360.07</v>
      </c>
    </row>
    <row r="111" spans="1:8" x14ac:dyDescent="0.25">
      <c r="A111" s="1" t="s">
        <v>370</v>
      </c>
      <c r="B111" s="1" t="s">
        <v>370</v>
      </c>
      <c r="C111" s="1" t="s">
        <v>81</v>
      </c>
      <c r="D111" s="1"/>
      <c r="E111" s="4">
        <v>1</v>
      </c>
      <c r="F111" s="4">
        <v>1</v>
      </c>
      <c r="G111" s="5">
        <v>364.83480000000003</v>
      </c>
      <c r="H111" s="2">
        <f>+cvg[[#This Row],[UP€]]*cvg[[#This Row],[FINAL QTY]]</f>
        <v>364.83480000000003</v>
      </c>
    </row>
    <row r="112" spans="1:8" x14ac:dyDescent="0.25">
      <c r="A112" s="1" t="s">
        <v>371</v>
      </c>
      <c r="B112" s="1" t="s">
        <v>371</v>
      </c>
      <c r="C112" s="1" t="s">
        <v>82</v>
      </c>
      <c r="D112" s="1"/>
      <c r="E112" s="4">
        <v>1</v>
      </c>
      <c r="F112" s="4">
        <v>1</v>
      </c>
      <c r="G112" s="5">
        <v>118.84</v>
      </c>
      <c r="H112" s="2">
        <f>+cvg[[#This Row],[UP€]]*cvg[[#This Row],[FINAL QTY]]</f>
        <v>118.84</v>
      </c>
    </row>
    <row r="113" spans="1:8" x14ac:dyDescent="0.25">
      <c r="A113" s="1" t="s">
        <v>372</v>
      </c>
      <c r="B113" s="1" t="s">
        <v>372</v>
      </c>
      <c r="C113" s="1" t="s">
        <v>83</v>
      </c>
      <c r="D113" s="1"/>
      <c r="E113" s="4">
        <v>1</v>
      </c>
      <c r="F113" s="4">
        <v>1</v>
      </c>
      <c r="G113" s="5">
        <v>43.034700000000008</v>
      </c>
      <c r="H113" s="2">
        <f>+cvg[[#This Row],[UP€]]*cvg[[#This Row],[FINAL QTY]]</f>
        <v>43.034700000000008</v>
      </c>
    </row>
    <row r="114" spans="1:8" x14ac:dyDescent="0.25">
      <c r="A114" s="1" t="s">
        <v>373</v>
      </c>
      <c r="B114" s="1" t="s">
        <v>373</v>
      </c>
      <c r="C114" s="1" t="s">
        <v>84</v>
      </c>
      <c r="D114" s="1"/>
      <c r="E114" s="4">
        <v>1</v>
      </c>
      <c r="F114" s="4">
        <v>1</v>
      </c>
      <c r="G114" s="5">
        <v>17.940000000000001</v>
      </c>
      <c r="H114" s="2">
        <f>+cvg[[#This Row],[UP€]]*cvg[[#This Row],[FINAL QTY]]</f>
        <v>17.940000000000001</v>
      </c>
    </row>
    <row r="115" spans="1:8" x14ac:dyDescent="0.25">
      <c r="A115" s="1" t="s">
        <v>684</v>
      </c>
      <c r="B115" s="1"/>
      <c r="C115" s="1"/>
      <c r="D115" s="1" t="s">
        <v>702</v>
      </c>
      <c r="E115" s="4">
        <v>1</v>
      </c>
      <c r="F115" s="4">
        <v>1</v>
      </c>
      <c r="H115" s="2"/>
    </row>
    <row r="116" spans="1:8" x14ac:dyDescent="0.25">
      <c r="A116" s="1" t="s">
        <v>374</v>
      </c>
      <c r="B116" s="1" t="s">
        <v>374</v>
      </c>
      <c r="C116" s="1" t="s">
        <v>85</v>
      </c>
      <c r="D116" s="1"/>
      <c r="E116" s="4">
        <v>1</v>
      </c>
      <c r="F116" s="4">
        <v>1</v>
      </c>
      <c r="G116" s="5">
        <v>22.99</v>
      </c>
      <c r="H116" s="2">
        <f>+cvg[[#This Row],[UP€]]*cvg[[#This Row],[FINAL QTY]]</f>
        <v>22.99</v>
      </c>
    </row>
    <row r="117" spans="1:8" x14ac:dyDescent="0.25">
      <c r="A117" s="1" t="s">
        <v>375</v>
      </c>
      <c r="B117" s="1" t="s">
        <v>375</v>
      </c>
      <c r="C117" s="1" t="s">
        <v>41</v>
      </c>
      <c r="D117" s="1"/>
      <c r="E117" s="4">
        <v>1</v>
      </c>
      <c r="F117" s="4">
        <v>1</v>
      </c>
      <c r="G117" s="5">
        <v>123.8871</v>
      </c>
      <c r="H117" s="2">
        <f>+cvg[[#This Row],[UP€]]*cvg[[#This Row],[FINAL QTY]]</f>
        <v>123.8871</v>
      </c>
    </row>
    <row r="118" spans="1:8" x14ac:dyDescent="0.25">
      <c r="A118" s="1" t="s">
        <v>376</v>
      </c>
      <c r="B118" s="1" t="s">
        <v>376</v>
      </c>
      <c r="C118" s="1" t="s">
        <v>86</v>
      </c>
      <c r="D118" s="1"/>
      <c r="E118" s="4">
        <v>2</v>
      </c>
      <c r="F118" s="4">
        <v>2</v>
      </c>
      <c r="G118" s="5">
        <v>18.5</v>
      </c>
      <c r="H118" s="2">
        <f>+cvg[[#This Row],[UP€]]*cvg[[#This Row],[FINAL QTY]]</f>
        <v>37</v>
      </c>
    </row>
    <row r="119" spans="1:8" x14ac:dyDescent="0.25">
      <c r="A119" s="1" t="s">
        <v>377</v>
      </c>
      <c r="B119" s="1" t="s">
        <v>377</v>
      </c>
      <c r="C119" s="1" t="s">
        <v>77</v>
      </c>
      <c r="D119" s="1"/>
      <c r="E119" s="4">
        <v>1</v>
      </c>
      <c r="F119" s="4">
        <v>1</v>
      </c>
      <c r="G119" s="5">
        <v>103</v>
      </c>
      <c r="H119" s="2">
        <f>+cvg[[#This Row],[UP€]]*cvg[[#This Row],[FINAL QTY]]</f>
        <v>103</v>
      </c>
    </row>
    <row r="120" spans="1:8" x14ac:dyDescent="0.25">
      <c r="A120" s="1" t="s">
        <v>378</v>
      </c>
      <c r="B120" s="1" t="s">
        <v>378</v>
      </c>
      <c r="C120" s="1" t="s">
        <v>49</v>
      </c>
      <c r="D120" s="1"/>
      <c r="E120" s="4">
        <v>1</v>
      </c>
      <c r="F120" s="4">
        <v>1</v>
      </c>
      <c r="G120" s="5">
        <v>154.12</v>
      </c>
      <c r="H120" s="2">
        <f>+cvg[[#This Row],[UP€]]*cvg[[#This Row],[FINAL QTY]]</f>
        <v>154.12</v>
      </c>
    </row>
    <row r="121" spans="1:8" x14ac:dyDescent="0.25">
      <c r="A121" s="1" t="s">
        <v>379</v>
      </c>
      <c r="B121" s="1" t="s">
        <v>379</v>
      </c>
      <c r="C121" s="1" t="s">
        <v>59</v>
      </c>
      <c r="D121" s="1"/>
      <c r="E121" s="4">
        <v>1</v>
      </c>
      <c r="F121" s="4">
        <v>1</v>
      </c>
      <c r="G121" s="5">
        <v>37.229999999999997</v>
      </c>
      <c r="H121" s="2">
        <f>+cvg[[#This Row],[UP€]]*cvg[[#This Row],[FINAL QTY]]</f>
        <v>37.229999999999997</v>
      </c>
    </row>
    <row r="122" spans="1:8" x14ac:dyDescent="0.25">
      <c r="A122" s="1" t="s">
        <v>380</v>
      </c>
      <c r="B122" s="1" t="s">
        <v>380</v>
      </c>
      <c r="C122" s="1" t="s">
        <v>42</v>
      </c>
      <c r="D122" s="1"/>
      <c r="E122" s="4">
        <v>2</v>
      </c>
      <c r="F122" s="4">
        <v>2</v>
      </c>
      <c r="G122" s="5">
        <v>30.84</v>
      </c>
      <c r="H122" s="2">
        <f>+cvg[[#This Row],[UP€]]*cvg[[#This Row],[FINAL QTY]]</f>
        <v>61.68</v>
      </c>
    </row>
    <row r="123" spans="1:8" x14ac:dyDescent="0.25">
      <c r="A123" s="1" t="s">
        <v>381</v>
      </c>
      <c r="B123" s="1" t="s">
        <v>381</v>
      </c>
      <c r="C123" s="1" t="s">
        <v>41</v>
      </c>
      <c r="D123" s="1"/>
      <c r="E123" s="4">
        <v>2</v>
      </c>
      <c r="F123" s="4">
        <v>2</v>
      </c>
      <c r="G123" s="5">
        <v>235.47</v>
      </c>
      <c r="H123" s="2">
        <f>+cvg[[#This Row],[UP€]]*cvg[[#This Row],[FINAL QTY]]</f>
        <v>470.94</v>
      </c>
    </row>
    <row r="124" spans="1:8" x14ac:dyDescent="0.25">
      <c r="A124" s="1" t="s">
        <v>382</v>
      </c>
      <c r="B124" s="1" t="s">
        <v>382</v>
      </c>
      <c r="C124" s="1" t="s">
        <v>57</v>
      </c>
      <c r="D124" s="1"/>
      <c r="E124" s="4">
        <v>2</v>
      </c>
      <c r="F124" s="4">
        <v>2</v>
      </c>
      <c r="G124" s="5">
        <v>53.36</v>
      </c>
      <c r="H124" s="2">
        <f>+cvg[[#This Row],[UP€]]*cvg[[#This Row],[FINAL QTY]]</f>
        <v>106.72</v>
      </c>
    </row>
    <row r="125" spans="1:8" x14ac:dyDescent="0.25">
      <c r="A125" s="1" t="s">
        <v>383</v>
      </c>
      <c r="B125" s="1" t="s">
        <v>383</v>
      </c>
      <c r="C125" s="1" t="s">
        <v>87</v>
      </c>
      <c r="D125" s="1"/>
      <c r="E125" s="4">
        <v>2</v>
      </c>
      <c r="F125" s="4">
        <v>2</v>
      </c>
      <c r="G125" s="5">
        <v>42.68</v>
      </c>
      <c r="H125" s="2">
        <f>+cvg[[#This Row],[UP€]]*cvg[[#This Row],[FINAL QTY]]</f>
        <v>85.36</v>
      </c>
    </row>
    <row r="126" spans="1:8" x14ac:dyDescent="0.25">
      <c r="A126" s="1" t="s">
        <v>384</v>
      </c>
      <c r="B126" s="1" t="s">
        <v>384</v>
      </c>
      <c r="C126" s="1" t="s">
        <v>57</v>
      </c>
      <c r="D126" s="1"/>
      <c r="E126" s="4">
        <v>2</v>
      </c>
      <c r="F126" s="4">
        <v>2</v>
      </c>
      <c r="G126" s="5">
        <v>93.37</v>
      </c>
      <c r="H126" s="2">
        <f>+cvg[[#This Row],[UP€]]*cvg[[#This Row],[FINAL QTY]]</f>
        <v>186.74</v>
      </c>
    </row>
    <row r="127" spans="1:8" x14ac:dyDescent="0.25">
      <c r="A127" s="1" t="s">
        <v>385</v>
      </c>
      <c r="B127" s="1" t="s">
        <v>385</v>
      </c>
      <c r="C127" s="1" t="s">
        <v>88</v>
      </c>
      <c r="D127" s="1"/>
      <c r="E127" s="4">
        <v>32</v>
      </c>
      <c r="F127" s="4">
        <v>32</v>
      </c>
      <c r="G127" s="5">
        <v>1.99</v>
      </c>
      <c r="H127" s="2">
        <f>+cvg[[#This Row],[UP€]]*cvg[[#This Row],[FINAL QTY]]</f>
        <v>63.68</v>
      </c>
    </row>
    <row r="128" spans="1:8" x14ac:dyDescent="0.25">
      <c r="A128" s="1" t="s">
        <v>685</v>
      </c>
      <c r="B128" s="1"/>
      <c r="C128" s="1"/>
      <c r="D128" s="1" t="s">
        <v>702</v>
      </c>
      <c r="E128" s="4">
        <v>2</v>
      </c>
      <c r="F128" s="4">
        <v>2</v>
      </c>
      <c r="H128" s="2"/>
    </row>
    <row r="129" spans="1:8" x14ac:dyDescent="0.25">
      <c r="A129" s="1" t="s">
        <v>686</v>
      </c>
      <c r="B129" s="1"/>
      <c r="C129" s="1"/>
      <c r="D129" s="1" t="s">
        <v>702</v>
      </c>
      <c r="E129" s="4">
        <v>3</v>
      </c>
      <c r="F129" s="4">
        <v>3</v>
      </c>
      <c r="H129" s="2"/>
    </row>
    <row r="130" spans="1:8" x14ac:dyDescent="0.25">
      <c r="A130" s="1" t="s">
        <v>687</v>
      </c>
      <c r="B130" s="3" t="s">
        <v>386</v>
      </c>
      <c r="C130" s="1" t="s">
        <v>89</v>
      </c>
      <c r="D130" s="1"/>
      <c r="E130" s="4">
        <v>3</v>
      </c>
      <c r="F130" s="4">
        <v>3</v>
      </c>
      <c r="G130" s="5">
        <v>3.21</v>
      </c>
      <c r="H130" s="2">
        <f>+cvg[[#This Row],[UP€]]*cvg[[#This Row],[FINAL QTY]]</f>
        <v>9.629999999999999</v>
      </c>
    </row>
    <row r="131" spans="1:8" x14ac:dyDescent="0.25">
      <c r="A131" s="1" t="s">
        <v>387</v>
      </c>
      <c r="B131" s="1" t="s">
        <v>387</v>
      </c>
      <c r="C131" s="1" t="s">
        <v>90</v>
      </c>
      <c r="D131" s="1"/>
      <c r="E131" s="4">
        <v>1</v>
      </c>
      <c r="F131" s="4">
        <v>1</v>
      </c>
      <c r="G131" s="5">
        <v>68.58</v>
      </c>
      <c r="H131" s="2">
        <f>+cvg[[#This Row],[UP€]]*cvg[[#This Row],[FINAL QTY]]</f>
        <v>68.58</v>
      </c>
    </row>
    <row r="132" spans="1:8" x14ac:dyDescent="0.25">
      <c r="A132" s="1" t="s">
        <v>388</v>
      </c>
      <c r="B132" s="1" t="s">
        <v>388</v>
      </c>
      <c r="C132" s="1" t="s">
        <v>91</v>
      </c>
      <c r="D132" s="1"/>
      <c r="E132" s="4">
        <v>2</v>
      </c>
      <c r="F132" s="4">
        <v>2</v>
      </c>
      <c r="G132" s="5">
        <v>49.99</v>
      </c>
      <c r="H132" s="2">
        <f>+cvg[[#This Row],[UP€]]*cvg[[#This Row],[FINAL QTY]]</f>
        <v>99.98</v>
      </c>
    </row>
    <row r="133" spans="1:8" x14ac:dyDescent="0.25">
      <c r="A133" s="1" t="s">
        <v>389</v>
      </c>
      <c r="B133" s="1" t="s">
        <v>389</v>
      </c>
      <c r="C133" s="1" t="s">
        <v>92</v>
      </c>
      <c r="D133" s="1"/>
      <c r="E133" s="4">
        <v>1</v>
      </c>
      <c r="F133" s="4">
        <v>1</v>
      </c>
      <c r="G133" s="5">
        <v>19.02</v>
      </c>
      <c r="H133" s="2">
        <f>+cvg[[#This Row],[UP€]]*cvg[[#This Row],[FINAL QTY]]</f>
        <v>19.02</v>
      </c>
    </row>
    <row r="134" spans="1:8" x14ac:dyDescent="0.25">
      <c r="A134" s="1" t="s">
        <v>390</v>
      </c>
      <c r="B134" s="1" t="s">
        <v>390</v>
      </c>
      <c r="C134" s="1" t="s">
        <v>93</v>
      </c>
      <c r="D134" s="1"/>
      <c r="E134" s="4">
        <v>2</v>
      </c>
      <c r="F134" s="4">
        <v>4</v>
      </c>
      <c r="G134" s="5">
        <v>2.68</v>
      </c>
      <c r="H134" s="2">
        <f>+cvg[[#This Row],[UP€]]*cvg[[#This Row],[FINAL QTY]]</f>
        <v>10.72</v>
      </c>
    </row>
    <row r="135" spans="1:8" x14ac:dyDescent="0.25">
      <c r="A135" s="1" t="s">
        <v>391</v>
      </c>
      <c r="B135" s="1" t="s">
        <v>391</v>
      </c>
      <c r="C135" s="1" t="s">
        <v>94</v>
      </c>
      <c r="D135" s="1"/>
      <c r="E135" s="4">
        <v>1</v>
      </c>
      <c r="F135" s="4">
        <v>1</v>
      </c>
      <c r="G135" s="5">
        <v>139.31</v>
      </c>
      <c r="H135" s="2">
        <f>+cvg[[#This Row],[UP€]]*cvg[[#This Row],[FINAL QTY]]</f>
        <v>139.31</v>
      </c>
    </row>
    <row r="136" spans="1:8" x14ac:dyDescent="0.25">
      <c r="A136" s="1" t="s">
        <v>392</v>
      </c>
      <c r="B136" s="1" t="s">
        <v>392</v>
      </c>
      <c r="C136" s="1" t="s">
        <v>95</v>
      </c>
      <c r="D136" s="1"/>
      <c r="E136" s="4">
        <v>5</v>
      </c>
      <c r="F136" s="4">
        <v>5</v>
      </c>
      <c r="G136" s="5">
        <v>15.11</v>
      </c>
      <c r="H136" s="2">
        <f>+cvg[[#This Row],[UP€]]*cvg[[#This Row],[FINAL QTY]]</f>
        <v>75.55</v>
      </c>
    </row>
    <row r="137" spans="1:8" x14ac:dyDescent="0.25">
      <c r="A137" s="1" t="s">
        <v>393</v>
      </c>
      <c r="B137" s="1" t="s">
        <v>393</v>
      </c>
      <c r="C137" s="1" t="s">
        <v>96</v>
      </c>
      <c r="D137" s="1"/>
      <c r="E137" s="4">
        <v>2</v>
      </c>
      <c r="F137" s="4">
        <v>2</v>
      </c>
      <c r="G137" s="5">
        <v>73.55</v>
      </c>
      <c r="H137" s="2">
        <f>+cvg[[#This Row],[UP€]]*cvg[[#This Row],[FINAL QTY]]</f>
        <v>147.1</v>
      </c>
    </row>
    <row r="138" spans="1:8" x14ac:dyDescent="0.25">
      <c r="A138" s="1" t="s">
        <v>394</v>
      </c>
      <c r="B138" s="1" t="s">
        <v>394</v>
      </c>
      <c r="C138" s="1" t="s">
        <v>97</v>
      </c>
      <c r="D138" s="1"/>
      <c r="E138" s="4">
        <v>2</v>
      </c>
      <c r="F138" s="4">
        <v>2</v>
      </c>
      <c r="G138" s="5">
        <v>99.43</v>
      </c>
      <c r="H138" s="2">
        <f>+cvg[[#This Row],[UP€]]*cvg[[#This Row],[FINAL QTY]]</f>
        <v>198.86</v>
      </c>
    </row>
    <row r="139" spans="1:8" x14ac:dyDescent="0.25">
      <c r="A139" s="1" t="s">
        <v>395</v>
      </c>
      <c r="B139" s="1" t="s">
        <v>395</v>
      </c>
      <c r="C139" s="1" t="s">
        <v>98</v>
      </c>
      <c r="D139" s="1"/>
      <c r="E139" s="4">
        <v>1</v>
      </c>
      <c r="F139" s="4">
        <v>1</v>
      </c>
      <c r="G139" s="5">
        <v>62.03</v>
      </c>
      <c r="H139" s="2">
        <f>+cvg[[#This Row],[UP€]]*cvg[[#This Row],[FINAL QTY]]</f>
        <v>62.03</v>
      </c>
    </row>
    <row r="140" spans="1:8" x14ac:dyDescent="0.25">
      <c r="A140" s="1" t="s">
        <v>396</v>
      </c>
      <c r="B140" s="1" t="s">
        <v>396</v>
      </c>
      <c r="C140" s="1" t="s">
        <v>99</v>
      </c>
      <c r="D140" s="1" t="s">
        <v>703</v>
      </c>
      <c r="E140" s="4">
        <v>1</v>
      </c>
      <c r="F140" s="4">
        <v>1</v>
      </c>
      <c r="H140" s="2"/>
    </row>
    <row r="141" spans="1:8" x14ac:dyDescent="0.25">
      <c r="A141" s="1" t="s">
        <v>397</v>
      </c>
      <c r="B141" s="1" t="s">
        <v>397</v>
      </c>
      <c r="C141" s="1" t="s">
        <v>100</v>
      </c>
      <c r="D141" s="1"/>
      <c r="E141" s="4">
        <v>2</v>
      </c>
      <c r="F141" s="4">
        <v>2</v>
      </c>
      <c r="G141" s="5">
        <v>21</v>
      </c>
      <c r="H141" s="2">
        <f>+cvg[[#This Row],[UP€]]*cvg[[#This Row],[FINAL QTY]]</f>
        <v>42</v>
      </c>
    </row>
    <row r="142" spans="1:8" x14ac:dyDescent="0.25">
      <c r="A142" s="1" t="s">
        <v>398</v>
      </c>
      <c r="B142" s="1" t="s">
        <v>398</v>
      </c>
      <c r="C142" s="1" t="s">
        <v>101</v>
      </c>
      <c r="D142" s="1"/>
      <c r="E142" s="4">
        <v>1</v>
      </c>
      <c r="F142" s="4">
        <v>1</v>
      </c>
      <c r="G142" s="5">
        <v>11.76</v>
      </c>
      <c r="H142" s="2">
        <f>+cvg[[#This Row],[UP€]]*cvg[[#This Row],[FINAL QTY]]</f>
        <v>11.76</v>
      </c>
    </row>
    <row r="143" spans="1:8" x14ac:dyDescent="0.25">
      <c r="A143" s="1" t="s">
        <v>399</v>
      </c>
      <c r="B143" s="1" t="s">
        <v>399</v>
      </c>
      <c r="C143" s="1" t="s">
        <v>102</v>
      </c>
      <c r="D143" s="1"/>
      <c r="E143" s="4">
        <v>2</v>
      </c>
      <c r="F143" s="4">
        <v>2</v>
      </c>
      <c r="G143" s="5">
        <v>7.08</v>
      </c>
      <c r="H143" s="2">
        <f>+cvg[[#This Row],[UP€]]*cvg[[#This Row],[FINAL QTY]]</f>
        <v>14.16</v>
      </c>
    </row>
    <row r="144" spans="1:8" x14ac:dyDescent="0.25">
      <c r="A144" s="1" t="s">
        <v>400</v>
      </c>
      <c r="B144" s="1" t="s">
        <v>400</v>
      </c>
      <c r="C144" s="1" t="s">
        <v>21</v>
      </c>
      <c r="D144" s="1"/>
      <c r="E144" s="4">
        <v>1</v>
      </c>
      <c r="F144" s="4">
        <v>1</v>
      </c>
      <c r="G144" s="5">
        <v>183.42</v>
      </c>
      <c r="H144" s="2">
        <f>+cvg[[#This Row],[UP€]]*cvg[[#This Row],[FINAL QTY]]</f>
        <v>183.42</v>
      </c>
    </row>
    <row r="145" spans="1:8" x14ac:dyDescent="0.25">
      <c r="A145" s="1" t="s">
        <v>401</v>
      </c>
      <c r="B145" s="1" t="s">
        <v>401</v>
      </c>
      <c r="C145" s="1" t="s">
        <v>103</v>
      </c>
      <c r="D145" s="1"/>
      <c r="E145" s="4">
        <v>1</v>
      </c>
      <c r="F145" s="4">
        <v>1</v>
      </c>
      <c r="G145" s="5">
        <v>51.13</v>
      </c>
      <c r="H145" s="2">
        <f>+cvg[[#This Row],[UP€]]*cvg[[#This Row],[FINAL QTY]]</f>
        <v>51.13</v>
      </c>
    </row>
    <row r="146" spans="1:8" x14ac:dyDescent="0.25">
      <c r="A146" s="1" t="s">
        <v>402</v>
      </c>
      <c r="B146" s="1" t="s">
        <v>402</v>
      </c>
      <c r="C146" s="1" t="s">
        <v>104</v>
      </c>
      <c r="D146" s="1"/>
      <c r="E146" s="4">
        <v>1</v>
      </c>
      <c r="F146" s="4">
        <v>1</v>
      </c>
      <c r="H146" s="2"/>
    </row>
    <row r="147" spans="1:8" x14ac:dyDescent="0.25">
      <c r="A147" s="1" t="s">
        <v>403</v>
      </c>
      <c r="B147" s="1" t="s">
        <v>403</v>
      </c>
      <c r="C147" s="1" t="s">
        <v>84</v>
      </c>
      <c r="D147" s="1"/>
      <c r="E147" s="4">
        <v>1</v>
      </c>
      <c r="F147" s="4">
        <v>1</v>
      </c>
      <c r="G147" s="5">
        <v>30.36</v>
      </c>
      <c r="H147" s="2">
        <f>+cvg[[#This Row],[UP€]]*cvg[[#This Row],[FINAL QTY]]</f>
        <v>30.36</v>
      </c>
    </row>
    <row r="148" spans="1:8" x14ac:dyDescent="0.25">
      <c r="A148" s="1" t="s">
        <v>404</v>
      </c>
      <c r="B148" s="1" t="s">
        <v>404</v>
      </c>
      <c r="C148" s="1" t="s">
        <v>84</v>
      </c>
      <c r="D148" s="1"/>
      <c r="E148" s="4">
        <v>1</v>
      </c>
      <c r="F148" s="4">
        <v>1</v>
      </c>
      <c r="G148" s="5">
        <v>30.32</v>
      </c>
      <c r="H148" s="2">
        <f>+cvg[[#This Row],[UP€]]*cvg[[#This Row],[FINAL QTY]]</f>
        <v>30.32</v>
      </c>
    </row>
    <row r="149" spans="1:8" x14ac:dyDescent="0.25">
      <c r="A149" s="1" t="s">
        <v>405</v>
      </c>
      <c r="B149" s="1" t="s">
        <v>405</v>
      </c>
      <c r="C149" s="1" t="s">
        <v>105</v>
      </c>
      <c r="D149" s="1"/>
      <c r="E149" s="4">
        <v>10</v>
      </c>
      <c r="F149" s="4">
        <v>10</v>
      </c>
      <c r="G149" s="5">
        <v>99.39</v>
      </c>
      <c r="H149" s="2">
        <f>+cvg[[#This Row],[UP€]]*cvg[[#This Row],[FINAL QTY]]</f>
        <v>993.9</v>
      </c>
    </row>
    <row r="150" spans="1:8" x14ac:dyDescent="0.25">
      <c r="A150" s="1" t="s">
        <v>406</v>
      </c>
      <c r="B150" s="1" t="s">
        <v>406</v>
      </c>
      <c r="C150" s="1" t="s">
        <v>106</v>
      </c>
      <c r="D150" s="1"/>
      <c r="E150" s="4">
        <v>2</v>
      </c>
      <c r="F150" s="4">
        <v>2</v>
      </c>
      <c r="G150" s="5">
        <v>23.43</v>
      </c>
      <c r="H150" s="2">
        <f>+cvg[[#This Row],[UP€]]*cvg[[#This Row],[FINAL QTY]]</f>
        <v>46.86</v>
      </c>
    </row>
    <row r="151" spans="1:8" x14ac:dyDescent="0.25">
      <c r="A151" s="1" t="s">
        <v>407</v>
      </c>
      <c r="B151" s="1" t="s">
        <v>407</v>
      </c>
      <c r="C151" s="1" t="s">
        <v>107</v>
      </c>
      <c r="D151" s="1"/>
      <c r="E151" s="4">
        <v>5</v>
      </c>
      <c r="F151" s="4">
        <v>5</v>
      </c>
      <c r="G151" s="5">
        <v>22.75</v>
      </c>
      <c r="H151" s="2">
        <f>+cvg[[#This Row],[UP€]]*cvg[[#This Row],[FINAL QTY]]</f>
        <v>113.75</v>
      </c>
    </row>
    <row r="152" spans="1:8" x14ac:dyDescent="0.25">
      <c r="A152" s="1" t="s">
        <v>408</v>
      </c>
      <c r="B152" s="1" t="s">
        <v>408</v>
      </c>
      <c r="C152" s="1" t="s">
        <v>108</v>
      </c>
      <c r="D152" s="1"/>
      <c r="E152" s="4">
        <v>1</v>
      </c>
      <c r="F152" s="4">
        <v>1</v>
      </c>
      <c r="G152" s="5">
        <v>4.41</v>
      </c>
      <c r="H152" s="2">
        <f>+cvg[[#This Row],[UP€]]*cvg[[#This Row],[FINAL QTY]]</f>
        <v>4.41</v>
      </c>
    </row>
    <row r="153" spans="1:8" x14ac:dyDescent="0.25">
      <c r="A153" s="1" t="s">
        <v>409</v>
      </c>
      <c r="B153" s="1" t="s">
        <v>409</v>
      </c>
      <c r="C153" s="1" t="s">
        <v>109</v>
      </c>
      <c r="D153" s="1"/>
      <c r="E153" s="4">
        <v>2</v>
      </c>
      <c r="F153" s="4">
        <v>2</v>
      </c>
      <c r="G153" s="5">
        <v>51.53</v>
      </c>
      <c r="H153" s="2">
        <f>+cvg[[#This Row],[UP€]]*cvg[[#This Row],[FINAL QTY]]</f>
        <v>103.06</v>
      </c>
    </row>
    <row r="154" spans="1:8" x14ac:dyDescent="0.25">
      <c r="A154" s="1" t="s">
        <v>410</v>
      </c>
      <c r="B154" s="1" t="s">
        <v>410</v>
      </c>
      <c r="C154" s="1" t="s">
        <v>110</v>
      </c>
      <c r="D154" s="1"/>
      <c r="E154" s="4">
        <v>2</v>
      </c>
      <c r="F154" s="4">
        <v>2</v>
      </c>
      <c r="G154" s="5">
        <v>25.67</v>
      </c>
      <c r="H154" s="2">
        <f>+cvg[[#This Row],[UP€]]*cvg[[#This Row],[FINAL QTY]]</f>
        <v>51.34</v>
      </c>
    </row>
    <row r="155" spans="1:8" x14ac:dyDescent="0.25">
      <c r="A155" s="1" t="s">
        <v>411</v>
      </c>
      <c r="B155" s="1" t="s">
        <v>411</v>
      </c>
      <c r="C155" s="1" t="s">
        <v>111</v>
      </c>
      <c r="D155" s="1"/>
      <c r="E155" s="4">
        <v>1</v>
      </c>
      <c r="F155" s="4">
        <v>1</v>
      </c>
      <c r="G155" s="5">
        <v>7.41</v>
      </c>
      <c r="H155" s="2">
        <f>+cvg[[#This Row],[UP€]]*cvg[[#This Row],[FINAL QTY]]</f>
        <v>7.41</v>
      </c>
    </row>
    <row r="156" spans="1:8" x14ac:dyDescent="0.25">
      <c r="A156" s="1" t="s">
        <v>412</v>
      </c>
      <c r="B156" s="1" t="s">
        <v>412</v>
      </c>
      <c r="C156" s="1" t="s">
        <v>112</v>
      </c>
      <c r="D156" s="1"/>
      <c r="E156" s="4">
        <v>1</v>
      </c>
      <c r="F156" s="4">
        <v>1</v>
      </c>
      <c r="G156" s="5">
        <v>62.72</v>
      </c>
      <c r="H156" s="2">
        <f>+cvg[[#This Row],[UP€]]*cvg[[#This Row],[FINAL QTY]]</f>
        <v>62.72</v>
      </c>
    </row>
    <row r="157" spans="1:8" x14ac:dyDescent="0.25">
      <c r="A157" s="1" t="s">
        <v>413</v>
      </c>
      <c r="B157" s="1" t="s">
        <v>413</v>
      </c>
      <c r="C157" s="1" t="s">
        <v>111</v>
      </c>
      <c r="D157" s="1"/>
      <c r="E157" s="4">
        <v>3</v>
      </c>
      <c r="F157" s="4">
        <v>3</v>
      </c>
      <c r="G157" s="5">
        <v>4.34</v>
      </c>
      <c r="H157" s="2">
        <f>+cvg[[#This Row],[UP€]]*cvg[[#This Row],[FINAL QTY]]</f>
        <v>13.02</v>
      </c>
    </row>
    <row r="158" spans="1:8" x14ac:dyDescent="0.25">
      <c r="A158" s="1" t="s">
        <v>414</v>
      </c>
      <c r="B158" s="1" t="s">
        <v>414</v>
      </c>
      <c r="C158" s="1" t="s">
        <v>113</v>
      </c>
      <c r="D158" s="1"/>
      <c r="E158" s="4">
        <v>5</v>
      </c>
      <c r="F158" s="4">
        <v>5</v>
      </c>
      <c r="G158" s="5">
        <v>11.71</v>
      </c>
      <c r="H158" s="2">
        <f>+cvg[[#This Row],[UP€]]*cvg[[#This Row],[FINAL QTY]]</f>
        <v>58.550000000000004</v>
      </c>
    </row>
    <row r="159" spans="1:8" x14ac:dyDescent="0.25">
      <c r="A159" s="1" t="s">
        <v>415</v>
      </c>
      <c r="B159" s="1" t="s">
        <v>415</v>
      </c>
      <c r="C159" s="1" t="s">
        <v>111</v>
      </c>
      <c r="D159" s="1"/>
      <c r="E159" s="4">
        <v>3</v>
      </c>
      <c r="F159" s="4">
        <v>3</v>
      </c>
      <c r="G159" s="5">
        <v>9.4700000000000006</v>
      </c>
      <c r="H159" s="2">
        <f>+cvg[[#This Row],[UP€]]*cvg[[#This Row],[FINAL QTY]]</f>
        <v>28.410000000000004</v>
      </c>
    </row>
    <row r="160" spans="1:8" x14ac:dyDescent="0.25">
      <c r="A160" s="1" t="s">
        <v>416</v>
      </c>
      <c r="B160" s="1" t="s">
        <v>416</v>
      </c>
      <c r="C160" s="1" t="s">
        <v>114</v>
      </c>
      <c r="D160" s="1"/>
      <c r="E160" s="4">
        <v>2</v>
      </c>
      <c r="F160" s="4">
        <v>2</v>
      </c>
      <c r="G160" s="5">
        <v>3.67</v>
      </c>
      <c r="H160" s="2">
        <f>+cvg[[#This Row],[UP€]]*cvg[[#This Row],[FINAL QTY]]</f>
        <v>7.34</v>
      </c>
    </row>
    <row r="161" spans="1:8" x14ac:dyDescent="0.25">
      <c r="A161" s="1" t="s">
        <v>417</v>
      </c>
      <c r="B161" s="1" t="s">
        <v>417</v>
      </c>
      <c r="C161" s="1" t="s">
        <v>98</v>
      </c>
      <c r="D161" s="1"/>
      <c r="E161" s="4">
        <v>2</v>
      </c>
      <c r="F161" s="4">
        <v>2</v>
      </c>
      <c r="G161" s="5">
        <v>58.95</v>
      </c>
      <c r="H161" s="2">
        <f>+cvg[[#This Row],[UP€]]*cvg[[#This Row],[FINAL QTY]]</f>
        <v>117.9</v>
      </c>
    </row>
    <row r="162" spans="1:8" x14ac:dyDescent="0.25">
      <c r="A162" s="1" t="s">
        <v>418</v>
      </c>
      <c r="B162" s="1" t="s">
        <v>418</v>
      </c>
      <c r="C162" s="1" t="s">
        <v>115</v>
      </c>
      <c r="D162" s="1"/>
      <c r="E162" s="4">
        <v>5</v>
      </c>
      <c r="F162" s="4">
        <v>5</v>
      </c>
      <c r="G162" s="5">
        <v>12.13</v>
      </c>
      <c r="H162" s="2">
        <f>+cvg[[#This Row],[UP€]]*cvg[[#This Row],[FINAL QTY]]</f>
        <v>60.650000000000006</v>
      </c>
    </row>
    <row r="163" spans="1:8" x14ac:dyDescent="0.25">
      <c r="A163" s="1" t="s">
        <v>419</v>
      </c>
      <c r="B163" s="1" t="s">
        <v>419</v>
      </c>
      <c r="C163" s="1" t="s">
        <v>116</v>
      </c>
      <c r="D163" s="1"/>
      <c r="E163" s="4">
        <v>4</v>
      </c>
      <c r="F163" s="4">
        <v>10</v>
      </c>
      <c r="G163" s="5">
        <v>14.01</v>
      </c>
      <c r="H163" s="2">
        <f>+cvg[[#This Row],[UP€]]*cvg[[#This Row],[FINAL QTY]]</f>
        <v>140.1</v>
      </c>
    </row>
    <row r="164" spans="1:8" x14ac:dyDescent="0.25">
      <c r="A164" s="1" t="s">
        <v>420</v>
      </c>
      <c r="B164" s="1" t="s">
        <v>420</v>
      </c>
      <c r="C164" s="1" t="s">
        <v>117</v>
      </c>
      <c r="D164" s="1"/>
      <c r="E164" s="4">
        <v>10</v>
      </c>
      <c r="F164" s="4">
        <v>10</v>
      </c>
      <c r="G164" s="5">
        <v>3.6</v>
      </c>
      <c r="H164" s="2">
        <f>+cvg[[#This Row],[UP€]]*cvg[[#This Row],[FINAL QTY]]</f>
        <v>36</v>
      </c>
    </row>
    <row r="165" spans="1:8" x14ac:dyDescent="0.25">
      <c r="A165" s="1" t="s">
        <v>688</v>
      </c>
      <c r="B165" s="3" t="s">
        <v>421</v>
      </c>
      <c r="C165" s="1" t="s">
        <v>117</v>
      </c>
      <c r="D165" s="1"/>
      <c r="E165" s="4">
        <v>100</v>
      </c>
      <c r="F165" s="4">
        <v>100</v>
      </c>
      <c r="G165" s="5">
        <v>6.5</v>
      </c>
      <c r="H165" s="2">
        <f>+cvg[[#This Row],[UP€]]*cvg[[#This Row],[FINAL QTY]]</f>
        <v>650</v>
      </c>
    </row>
    <row r="166" spans="1:8" x14ac:dyDescent="0.25">
      <c r="A166" s="1" t="s">
        <v>422</v>
      </c>
      <c r="B166" s="1" t="s">
        <v>422</v>
      </c>
      <c r="C166" s="1" t="s">
        <v>118</v>
      </c>
      <c r="D166" s="1"/>
      <c r="E166" s="4">
        <v>2</v>
      </c>
      <c r="F166" s="4">
        <v>2</v>
      </c>
      <c r="G166" s="5">
        <v>3.88</v>
      </c>
      <c r="H166" s="2">
        <f>+cvg[[#This Row],[UP€]]*cvg[[#This Row],[FINAL QTY]]</f>
        <v>7.76</v>
      </c>
    </row>
    <row r="167" spans="1:8" x14ac:dyDescent="0.25">
      <c r="A167" s="1" t="s">
        <v>423</v>
      </c>
      <c r="B167" s="1" t="s">
        <v>423</v>
      </c>
      <c r="C167" s="1" t="s">
        <v>119</v>
      </c>
      <c r="D167" s="1"/>
      <c r="E167" s="4">
        <v>1</v>
      </c>
      <c r="F167" s="4">
        <v>1</v>
      </c>
      <c r="G167" s="5">
        <v>135.68</v>
      </c>
      <c r="H167" s="2">
        <f>+cvg[[#This Row],[UP€]]*cvg[[#This Row],[FINAL QTY]]</f>
        <v>135.68</v>
      </c>
    </row>
    <row r="168" spans="1:8" x14ac:dyDescent="0.25">
      <c r="A168" s="1" t="s">
        <v>424</v>
      </c>
      <c r="B168" s="1" t="s">
        <v>424</v>
      </c>
      <c r="C168" s="1" t="s">
        <v>120</v>
      </c>
      <c r="D168" s="1"/>
      <c r="E168" s="4">
        <v>10</v>
      </c>
      <c r="F168" s="4">
        <v>10</v>
      </c>
      <c r="G168" s="5">
        <v>5.16</v>
      </c>
      <c r="H168" s="2">
        <f>+cvg[[#This Row],[UP€]]*cvg[[#This Row],[FINAL QTY]]</f>
        <v>51.6</v>
      </c>
    </row>
    <row r="169" spans="1:8" x14ac:dyDescent="0.25">
      <c r="A169" s="1" t="s">
        <v>689</v>
      </c>
      <c r="B169" s="1"/>
      <c r="C169" s="1"/>
      <c r="D169" s="1" t="s">
        <v>702</v>
      </c>
      <c r="E169" s="4">
        <v>5</v>
      </c>
      <c r="F169" s="4">
        <v>5</v>
      </c>
      <c r="H169" s="2"/>
    </row>
    <row r="170" spans="1:8" x14ac:dyDescent="0.25">
      <c r="A170" s="1" t="s">
        <v>425</v>
      </c>
      <c r="B170" s="1" t="s">
        <v>425</v>
      </c>
      <c r="C170" s="1" t="s">
        <v>121</v>
      </c>
      <c r="D170" s="1"/>
      <c r="E170" s="4">
        <v>1</v>
      </c>
      <c r="F170" s="4">
        <v>1</v>
      </c>
      <c r="G170" s="5">
        <v>47.29</v>
      </c>
      <c r="H170" s="2">
        <f>+cvg[[#This Row],[UP€]]*cvg[[#This Row],[FINAL QTY]]</f>
        <v>47.29</v>
      </c>
    </row>
    <row r="171" spans="1:8" x14ac:dyDescent="0.25">
      <c r="A171" s="1" t="s">
        <v>426</v>
      </c>
      <c r="B171" s="1" t="s">
        <v>426</v>
      </c>
      <c r="C171" s="1" t="s">
        <v>122</v>
      </c>
      <c r="D171" s="1"/>
      <c r="E171" s="4">
        <v>1</v>
      </c>
      <c r="F171" s="4">
        <v>1</v>
      </c>
      <c r="G171" s="5">
        <v>115.38</v>
      </c>
      <c r="H171" s="2">
        <f>+cvg[[#This Row],[UP€]]*cvg[[#This Row],[FINAL QTY]]</f>
        <v>115.38</v>
      </c>
    </row>
    <row r="172" spans="1:8" x14ac:dyDescent="0.25">
      <c r="A172" s="1" t="s">
        <v>427</v>
      </c>
      <c r="B172" s="1" t="s">
        <v>427</v>
      </c>
      <c r="C172" s="1" t="s">
        <v>54</v>
      </c>
      <c r="D172" s="1"/>
      <c r="E172" s="4">
        <v>1</v>
      </c>
      <c r="F172" s="4">
        <v>1</v>
      </c>
      <c r="G172" s="5">
        <v>17.98</v>
      </c>
      <c r="H172" s="2">
        <f>+cvg[[#This Row],[UP€]]*cvg[[#This Row],[FINAL QTY]]</f>
        <v>17.98</v>
      </c>
    </row>
    <row r="173" spans="1:8" x14ac:dyDescent="0.25">
      <c r="A173" s="1" t="s">
        <v>428</v>
      </c>
      <c r="B173" s="1" t="s">
        <v>428</v>
      </c>
      <c r="C173" s="1" t="s">
        <v>123</v>
      </c>
      <c r="D173" s="1"/>
      <c r="E173" s="4">
        <v>2</v>
      </c>
      <c r="F173" s="4">
        <v>2</v>
      </c>
      <c r="G173" s="5">
        <v>3.43</v>
      </c>
      <c r="H173" s="2">
        <f>+cvg[[#This Row],[UP€]]*cvg[[#This Row],[FINAL QTY]]</f>
        <v>6.86</v>
      </c>
    </row>
    <row r="174" spans="1:8" x14ac:dyDescent="0.25">
      <c r="A174" s="1" t="s">
        <v>429</v>
      </c>
      <c r="B174" s="1" t="s">
        <v>429</v>
      </c>
      <c r="C174" s="1" t="s">
        <v>123</v>
      </c>
      <c r="D174" s="1"/>
      <c r="E174" s="4">
        <v>5</v>
      </c>
      <c r="F174" s="4">
        <v>5</v>
      </c>
      <c r="G174" s="5">
        <v>3.78</v>
      </c>
      <c r="H174" s="2">
        <f>+cvg[[#This Row],[UP€]]*cvg[[#This Row],[FINAL QTY]]</f>
        <v>18.899999999999999</v>
      </c>
    </row>
    <row r="175" spans="1:8" x14ac:dyDescent="0.25">
      <c r="A175" s="1" t="s">
        <v>430</v>
      </c>
      <c r="B175" s="1" t="s">
        <v>430</v>
      </c>
      <c r="C175" s="1" t="s">
        <v>123</v>
      </c>
      <c r="D175" s="1"/>
      <c r="E175" s="4">
        <v>3</v>
      </c>
      <c r="F175" s="4">
        <v>3</v>
      </c>
      <c r="G175" s="5">
        <v>3.81</v>
      </c>
      <c r="H175" s="2">
        <f>+cvg[[#This Row],[UP€]]*cvg[[#This Row],[FINAL QTY]]</f>
        <v>11.43</v>
      </c>
    </row>
    <row r="176" spans="1:8" x14ac:dyDescent="0.25">
      <c r="A176" s="1" t="s">
        <v>431</v>
      </c>
      <c r="B176" s="1" t="s">
        <v>431</v>
      </c>
      <c r="C176" s="1" t="s">
        <v>124</v>
      </c>
      <c r="D176" s="1"/>
      <c r="E176" s="4">
        <v>1</v>
      </c>
      <c r="F176" s="4">
        <v>1</v>
      </c>
      <c r="G176" s="5">
        <v>46.85</v>
      </c>
      <c r="H176" s="2">
        <f>+cvg[[#This Row],[UP€]]*cvg[[#This Row],[FINAL QTY]]</f>
        <v>46.85</v>
      </c>
    </row>
    <row r="177" spans="1:8" x14ac:dyDescent="0.25">
      <c r="A177" s="1" t="s">
        <v>432</v>
      </c>
      <c r="B177" s="1" t="s">
        <v>432</v>
      </c>
      <c r="C177" s="1" t="s">
        <v>125</v>
      </c>
      <c r="D177" s="1"/>
      <c r="E177" s="4">
        <v>10</v>
      </c>
      <c r="F177" s="4">
        <v>10</v>
      </c>
      <c r="G177" s="5">
        <v>9.76</v>
      </c>
      <c r="H177" s="2">
        <f>+cvg[[#This Row],[UP€]]*cvg[[#This Row],[FINAL QTY]]</f>
        <v>97.6</v>
      </c>
    </row>
    <row r="178" spans="1:8" x14ac:dyDescent="0.25">
      <c r="A178" s="1" t="s">
        <v>433</v>
      </c>
      <c r="B178" s="1" t="s">
        <v>433</v>
      </c>
      <c r="C178" s="1" t="s">
        <v>126</v>
      </c>
      <c r="D178" s="1"/>
      <c r="E178" s="4">
        <v>1</v>
      </c>
      <c r="F178" s="4">
        <v>1</v>
      </c>
      <c r="G178" s="5">
        <v>183.21</v>
      </c>
      <c r="H178" s="2">
        <f>+cvg[[#This Row],[UP€]]*cvg[[#This Row],[FINAL QTY]]</f>
        <v>183.21</v>
      </c>
    </row>
    <row r="179" spans="1:8" x14ac:dyDescent="0.25">
      <c r="A179" s="1" t="s">
        <v>434</v>
      </c>
      <c r="B179" s="1" t="s">
        <v>434</v>
      </c>
      <c r="C179" s="1" t="s">
        <v>127</v>
      </c>
      <c r="D179" s="1"/>
      <c r="E179" s="4">
        <v>1</v>
      </c>
      <c r="F179" s="4">
        <v>1</v>
      </c>
      <c r="G179" s="5">
        <v>19.82</v>
      </c>
      <c r="H179" s="2">
        <f>+cvg[[#This Row],[UP€]]*cvg[[#This Row],[FINAL QTY]]</f>
        <v>19.82</v>
      </c>
    </row>
    <row r="180" spans="1:8" x14ac:dyDescent="0.25">
      <c r="A180" s="1" t="s">
        <v>435</v>
      </c>
      <c r="B180" s="1" t="s">
        <v>435</v>
      </c>
      <c r="C180" s="1" t="s">
        <v>127</v>
      </c>
      <c r="D180" s="1"/>
      <c r="E180" s="4">
        <v>1</v>
      </c>
      <c r="F180" s="4">
        <v>1</v>
      </c>
      <c r="G180" s="5">
        <v>20.149999999999999</v>
      </c>
      <c r="H180" s="2">
        <f>+cvg[[#This Row],[UP€]]*cvg[[#This Row],[FINAL QTY]]</f>
        <v>20.149999999999999</v>
      </c>
    </row>
    <row r="181" spans="1:8" x14ac:dyDescent="0.25">
      <c r="A181" s="1" t="s">
        <v>436</v>
      </c>
      <c r="B181" s="1" t="s">
        <v>436</v>
      </c>
      <c r="C181" s="1" t="s">
        <v>127</v>
      </c>
      <c r="D181" s="1"/>
      <c r="E181" s="4">
        <v>3</v>
      </c>
      <c r="F181" s="4">
        <v>3</v>
      </c>
      <c r="G181" s="5">
        <v>18.95</v>
      </c>
      <c r="H181" s="2">
        <f>+cvg[[#This Row],[UP€]]*cvg[[#This Row],[FINAL QTY]]</f>
        <v>56.849999999999994</v>
      </c>
    </row>
    <row r="182" spans="1:8" x14ac:dyDescent="0.25">
      <c r="A182" s="1" t="s">
        <v>437</v>
      </c>
      <c r="B182" s="1" t="s">
        <v>437</v>
      </c>
      <c r="C182" s="1" t="s">
        <v>50</v>
      </c>
      <c r="D182" s="1"/>
      <c r="E182" s="4">
        <v>1</v>
      </c>
      <c r="F182" s="4">
        <v>1</v>
      </c>
      <c r="G182" s="5">
        <v>81.260000000000005</v>
      </c>
      <c r="H182" s="2">
        <f>+cvg[[#This Row],[UP€]]*cvg[[#This Row],[FINAL QTY]]</f>
        <v>81.260000000000005</v>
      </c>
    </row>
    <row r="183" spans="1:8" x14ac:dyDescent="0.25">
      <c r="A183" s="1" t="s">
        <v>438</v>
      </c>
      <c r="B183" s="1" t="s">
        <v>438</v>
      </c>
      <c r="C183" s="1" t="s">
        <v>128</v>
      </c>
      <c r="D183" s="1"/>
      <c r="E183" s="4">
        <v>3</v>
      </c>
      <c r="F183" s="4">
        <v>3</v>
      </c>
      <c r="G183" s="5">
        <v>10.74</v>
      </c>
      <c r="H183" s="2">
        <f>+cvg[[#This Row],[UP€]]*cvg[[#This Row],[FINAL QTY]]</f>
        <v>32.22</v>
      </c>
    </row>
    <row r="184" spans="1:8" x14ac:dyDescent="0.25">
      <c r="A184" s="1" t="s">
        <v>439</v>
      </c>
      <c r="B184" s="1" t="s">
        <v>439</v>
      </c>
      <c r="C184" s="1" t="s">
        <v>129</v>
      </c>
      <c r="D184" s="1"/>
      <c r="E184" s="4">
        <v>2</v>
      </c>
      <c r="F184" s="4">
        <v>2</v>
      </c>
      <c r="G184" s="5">
        <v>9.99</v>
      </c>
      <c r="H184" s="2">
        <f>+cvg[[#This Row],[UP€]]*cvg[[#This Row],[FINAL QTY]]</f>
        <v>19.98</v>
      </c>
    </row>
    <row r="185" spans="1:8" x14ac:dyDescent="0.25">
      <c r="A185" s="1" t="s">
        <v>440</v>
      </c>
      <c r="B185" s="1" t="s">
        <v>440</v>
      </c>
      <c r="C185" s="1" t="s">
        <v>42</v>
      </c>
      <c r="D185" s="1"/>
      <c r="E185" s="4">
        <v>1</v>
      </c>
      <c r="F185" s="4">
        <v>1</v>
      </c>
      <c r="G185" s="5">
        <v>17.989999999999998</v>
      </c>
      <c r="H185" s="2">
        <f>+cvg[[#This Row],[UP€]]*cvg[[#This Row],[FINAL QTY]]</f>
        <v>17.989999999999998</v>
      </c>
    </row>
    <row r="186" spans="1:8" x14ac:dyDescent="0.25">
      <c r="A186" s="1" t="s">
        <v>441</v>
      </c>
      <c r="B186" s="1" t="s">
        <v>441</v>
      </c>
      <c r="C186" s="1" t="s">
        <v>100</v>
      </c>
      <c r="D186" s="1"/>
      <c r="E186" s="4">
        <v>1</v>
      </c>
      <c r="F186" s="4">
        <v>1</v>
      </c>
      <c r="G186" s="5">
        <v>29.68</v>
      </c>
      <c r="H186" s="2">
        <f>+cvg[[#This Row],[UP€]]*cvg[[#This Row],[FINAL QTY]]</f>
        <v>29.68</v>
      </c>
    </row>
    <row r="187" spans="1:8" x14ac:dyDescent="0.25">
      <c r="A187" s="1" t="s">
        <v>442</v>
      </c>
      <c r="B187" s="1" t="s">
        <v>442</v>
      </c>
      <c r="C187" s="1" t="s">
        <v>130</v>
      </c>
      <c r="D187" s="1"/>
      <c r="E187" s="4">
        <v>1</v>
      </c>
      <c r="F187" s="4">
        <v>1</v>
      </c>
      <c r="G187" s="5">
        <v>39.19</v>
      </c>
      <c r="H187" s="2">
        <f>+cvg[[#This Row],[UP€]]*cvg[[#This Row],[FINAL QTY]]</f>
        <v>39.19</v>
      </c>
    </row>
    <row r="188" spans="1:8" x14ac:dyDescent="0.25">
      <c r="A188" s="1" t="s">
        <v>443</v>
      </c>
      <c r="B188" s="1" t="s">
        <v>443</v>
      </c>
      <c r="C188" s="1" t="s">
        <v>131</v>
      </c>
      <c r="D188" s="1"/>
      <c r="E188" s="4">
        <v>1</v>
      </c>
      <c r="F188" s="4">
        <v>1</v>
      </c>
      <c r="G188" s="5">
        <v>22.22</v>
      </c>
      <c r="H188" s="2">
        <f>+cvg[[#This Row],[UP€]]*cvg[[#This Row],[FINAL QTY]]</f>
        <v>22.22</v>
      </c>
    </row>
    <row r="189" spans="1:8" x14ac:dyDescent="0.25">
      <c r="A189" s="1" t="s">
        <v>444</v>
      </c>
      <c r="B189" s="1" t="s">
        <v>444</v>
      </c>
      <c r="C189" s="1" t="s">
        <v>12</v>
      </c>
      <c r="D189" s="1"/>
      <c r="E189" s="4">
        <v>1</v>
      </c>
      <c r="F189" s="4">
        <v>1</v>
      </c>
      <c r="G189" s="5">
        <v>6.53</v>
      </c>
      <c r="H189" s="2">
        <f>+cvg[[#This Row],[UP€]]*cvg[[#This Row],[FINAL QTY]]</f>
        <v>6.53</v>
      </c>
    </row>
    <row r="190" spans="1:8" x14ac:dyDescent="0.25">
      <c r="A190" s="1" t="s">
        <v>445</v>
      </c>
      <c r="B190" s="1" t="s">
        <v>445</v>
      </c>
      <c r="C190" s="1" t="s">
        <v>132</v>
      </c>
      <c r="D190" s="1"/>
      <c r="E190" s="4">
        <v>1</v>
      </c>
      <c r="F190" s="4">
        <v>1</v>
      </c>
      <c r="G190" s="5">
        <v>53.26</v>
      </c>
      <c r="H190" s="2">
        <f>+cvg[[#This Row],[UP€]]*cvg[[#This Row],[FINAL QTY]]</f>
        <v>53.26</v>
      </c>
    </row>
    <row r="191" spans="1:8" x14ac:dyDescent="0.25">
      <c r="A191" s="1" t="s">
        <v>446</v>
      </c>
      <c r="B191" s="1" t="s">
        <v>446</v>
      </c>
      <c r="C191" s="1" t="s">
        <v>133</v>
      </c>
      <c r="D191" s="1"/>
      <c r="E191" s="4">
        <v>2</v>
      </c>
      <c r="F191" s="4">
        <v>2</v>
      </c>
      <c r="G191" s="5">
        <v>14.77</v>
      </c>
      <c r="H191" s="2">
        <f>+cvg[[#This Row],[UP€]]*cvg[[#This Row],[FINAL QTY]]</f>
        <v>29.54</v>
      </c>
    </row>
    <row r="192" spans="1:8" x14ac:dyDescent="0.25">
      <c r="A192" s="1" t="s">
        <v>447</v>
      </c>
      <c r="B192" s="1" t="s">
        <v>447</v>
      </c>
      <c r="C192" s="1" t="s">
        <v>134</v>
      </c>
      <c r="D192" s="1"/>
      <c r="E192" s="4">
        <v>1</v>
      </c>
      <c r="F192" s="4">
        <v>1</v>
      </c>
      <c r="G192" s="5">
        <v>39.79</v>
      </c>
      <c r="H192" s="2">
        <f>+cvg[[#This Row],[UP€]]*cvg[[#This Row],[FINAL QTY]]</f>
        <v>39.79</v>
      </c>
    </row>
    <row r="193" spans="1:8" x14ac:dyDescent="0.25">
      <c r="A193" s="1" t="s">
        <v>448</v>
      </c>
      <c r="B193" s="1" t="s">
        <v>448</v>
      </c>
      <c r="C193" s="1" t="s">
        <v>135</v>
      </c>
      <c r="D193" s="1"/>
      <c r="E193" s="4">
        <v>1</v>
      </c>
      <c r="F193" s="4">
        <v>1</v>
      </c>
      <c r="G193" s="5">
        <v>70.709999999999994</v>
      </c>
      <c r="H193" s="2">
        <f>+cvg[[#This Row],[UP€]]*cvg[[#This Row],[FINAL QTY]]</f>
        <v>70.709999999999994</v>
      </c>
    </row>
    <row r="194" spans="1:8" x14ac:dyDescent="0.25">
      <c r="A194" s="1" t="s">
        <v>449</v>
      </c>
      <c r="B194" s="1" t="s">
        <v>449</v>
      </c>
      <c r="C194" s="1" t="s">
        <v>136</v>
      </c>
      <c r="D194" s="1"/>
      <c r="E194" s="4">
        <v>1</v>
      </c>
      <c r="F194" s="4">
        <v>1</v>
      </c>
      <c r="G194" s="5">
        <v>24.56</v>
      </c>
      <c r="H194" s="2">
        <f>+cvg[[#This Row],[UP€]]*cvg[[#This Row],[FINAL QTY]]</f>
        <v>24.56</v>
      </c>
    </row>
    <row r="195" spans="1:8" x14ac:dyDescent="0.25">
      <c r="A195" s="1" t="s">
        <v>450</v>
      </c>
      <c r="B195" s="1" t="s">
        <v>450</v>
      </c>
      <c r="C195" s="1" t="s">
        <v>136</v>
      </c>
      <c r="D195" s="1"/>
      <c r="E195" s="4">
        <v>1</v>
      </c>
      <c r="F195" s="4">
        <v>1</v>
      </c>
      <c r="G195" s="5">
        <v>54.38</v>
      </c>
      <c r="H195" s="2">
        <f>+cvg[[#This Row],[UP€]]*cvg[[#This Row],[FINAL QTY]]</f>
        <v>54.38</v>
      </c>
    </row>
    <row r="196" spans="1:8" x14ac:dyDescent="0.25">
      <c r="A196" s="1" t="s">
        <v>690</v>
      </c>
      <c r="B196" s="3" t="s">
        <v>451</v>
      </c>
      <c r="C196" s="1" t="s">
        <v>137</v>
      </c>
      <c r="D196" s="1"/>
      <c r="E196" s="4">
        <v>16</v>
      </c>
      <c r="F196" s="4">
        <v>16</v>
      </c>
      <c r="G196" s="5">
        <v>1.45</v>
      </c>
      <c r="H196" s="2">
        <f>+cvg[[#This Row],[UP€]]*cvg[[#This Row],[FINAL QTY]]</f>
        <v>23.2</v>
      </c>
    </row>
    <row r="197" spans="1:8" x14ac:dyDescent="0.25">
      <c r="A197" s="1" t="s">
        <v>452</v>
      </c>
      <c r="B197" s="1" t="s">
        <v>452</v>
      </c>
      <c r="C197" s="1" t="s">
        <v>138</v>
      </c>
      <c r="D197" s="1"/>
      <c r="E197" s="4">
        <v>1</v>
      </c>
      <c r="F197" s="4">
        <v>1</v>
      </c>
      <c r="G197" s="5">
        <v>18.149999999999999</v>
      </c>
      <c r="H197" s="2">
        <f>+cvg[[#This Row],[UP€]]*cvg[[#This Row],[FINAL QTY]]</f>
        <v>18.149999999999999</v>
      </c>
    </row>
    <row r="198" spans="1:8" x14ac:dyDescent="0.25">
      <c r="A198" s="1" t="s">
        <v>453</v>
      </c>
      <c r="B198" s="1" t="s">
        <v>453</v>
      </c>
      <c r="C198" s="1" t="s">
        <v>139</v>
      </c>
      <c r="D198" s="1"/>
      <c r="E198" s="4">
        <v>2</v>
      </c>
      <c r="F198" s="4">
        <v>2</v>
      </c>
      <c r="G198" s="5">
        <v>26.86</v>
      </c>
      <c r="H198" s="2">
        <f>+cvg[[#This Row],[UP€]]*cvg[[#This Row],[FINAL QTY]]</f>
        <v>53.72</v>
      </c>
    </row>
    <row r="199" spans="1:8" x14ac:dyDescent="0.25">
      <c r="A199" s="1" t="s">
        <v>454</v>
      </c>
      <c r="B199" s="1" t="s">
        <v>454</v>
      </c>
      <c r="C199" s="1" t="s">
        <v>140</v>
      </c>
      <c r="D199" s="1"/>
      <c r="E199" s="4">
        <v>1</v>
      </c>
      <c r="F199" s="4">
        <v>1</v>
      </c>
      <c r="G199" s="5">
        <v>26.9</v>
      </c>
      <c r="H199" s="2">
        <f>+cvg[[#This Row],[UP€]]*cvg[[#This Row],[FINAL QTY]]</f>
        <v>26.9</v>
      </c>
    </row>
    <row r="200" spans="1:8" x14ac:dyDescent="0.25">
      <c r="A200" s="1" t="s">
        <v>455</v>
      </c>
      <c r="B200" s="1" t="s">
        <v>455</v>
      </c>
      <c r="C200" s="1" t="s">
        <v>141</v>
      </c>
      <c r="D200" s="1"/>
      <c r="E200" s="4">
        <v>2</v>
      </c>
      <c r="F200" s="4">
        <v>2</v>
      </c>
      <c r="G200" s="5">
        <v>11.13</v>
      </c>
      <c r="H200" s="2">
        <f>+cvg[[#This Row],[UP€]]*cvg[[#This Row],[FINAL QTY]]</f>
        <v>22.26</v>
      </c>
    </row>
    <row r="201" spans="1:8" x14ac:dyDescent="0.25">
      <c r="A201" s="1" t="s">
        <v>456</v>
      </c>
      <c r="B201" s="1" t="s">
        <v>456</v>
      </c>
      <c r="C201" s="1" t="s">
        <v>142</v>
      </c>
      <c r="D201" s="1"/>
      <c r="E201" s="4">
        <v>5</v>
      </c>
      <c r="F201" s="4">
        <v>5</v>
      </c>
      <c r="G201" s="5">
        <v>8.11</v>
      </c>
      <c r="H201" s="2">
        <f>+cvg[[#This Row],[UP€]]*cvg[[#This Row],[FINAL QTY]]</f>
        <v>40.549999999999997</v>
      </c>
    </row>
    <row r="202" spans="1:8" x14ac:dyDescent="0.25">
      <c r="A202" s="1" t="s">
        <v>457</v>
      </c>
      <c r="B202" s="1" t="s">
        <v>457</v>
      </c>
      <c r="C202" s="1" t="s">
        <v>143</v>
      </c>
      <c r="D202" s="1"/>
      <c r="E202" s="4">
        <v>2</v>
      </c>
      <c r="F202" s="4">
        <v>2</v>
      </c>
      <c r="G202" s="5">
        <v>53.06</v>
      </c>
      <c r="H202" s="2">
        <f>+cvg[[#This Row],[UP€]]*cvg[[#This Row],[FINAL QTY]]</f>
        <v>106.12</v>
      </c>
    </row>
    <row r="203" spans="1:8" x14ac:dyDescent="0.25">
      <c r="A203" s="1" t="s">
        <v>458</v>
      </c>
      <c r="B203" s="1" t="s">
        <v>458</v>
      </c>
      <c r="C203" s="1" t="s">
        <v>144</v>
      </c>
      <c r="D203" s="1"/>
      <c r="E203" s="4">
        <v>2</v>
      </c>
      <c r="F203" s="4">
        <v>2</v>
      </c>
      <c r="G203" s="5">
        <v>55.85</v>
      </c>
      <c r="H203" s="2">
        <f>+cvg[[#This Row],[UP€]]*cvg[[#This Row],[FINAL QTY]]</f>
        <v>111.7</v>
      </c>
    </row>
    <row r="204" spans="1:8" x14ac:dyDescent="0.25">
      <c r="A204" s="1" t="s">
        <v>459</v>
      </c>
      <c r="B204" s="1" t="s">
        <v>459</v>
      </c>
      <c r="C204" s="1" t="s">
        <v>12</v>
      </c>
      <c r="D204" s="1"/>
      <c r="E204" s="4">
        <v>1</v>
      </c>
      <c r="F204" s="4">
        <v>1</v>
      </c>
      <c r="G204" s="5">
        <v>34.299999999999997</v>
      </c>
      <c r="H204" s="2">
        <f>+cvg[[#This Row],[UP€]]*cvg[[#This Row],[FINAL QTY]]</f>
        <v>34.299999999999997</v>
      </c>
    </row>
    <row r="205" spans="1:8" x14ac:dyDescent="0.25">
      <c r="A205" s="1" t="s">
        <v>460</v>
      </c>
      <c r="B205" s="1" t="s">
        <v>460</v>
      </c>
      <c r="C205" s="1" t="s">
        <v>22</v>
      </c>
      <c r="D205" s="1"/>
      <c r="E205" s="4">
        <v>1</v>
      </c>
      <c r="F205" s="4">
        <v>1</v>
      </c>
      <c r="G205" s="5">
        <v>30.9</v>
      </c>
      <c r="H205" s="2">
        <f>+cvg[[#This Row],[UP€]]*cvg[[#This Row],[FINAL QTY]]</f>
        <v>30.9</v>
      </c>
    </row>
    <row r="206" spans="1:8" x14ac:dyDescent="0.25">
      <c r="A206" s="1" t="s">
        <v>461</v>
      </c>
      <c r="B206" s="1" t="s">
        <v>461</v>
      </c>
      <c r="C206" s="1" t="s">
        <v>21</v>
      </c>
      <c r="D206" s="1"/>
      <c r="E206" s="4">
        <v>1</v>
      </c>
      <c r="F206" s="4">
        <v>1</v>
      </c>
      <c r="G206" s="5">
        <v>121.78</v>
      </c>
      <c r="H206" s="2">
        <f>+cvg[[#This Row],[UP€]]*cvg[[#This Row],[FINAL QTY]]</f>
        <v>121.78</v>
      </c>
    </row>
    <row r="207" spans="1:8" x14ac:dyDescent="0.25">
      <c r="A207" s="1" t="s">
        <v>462</v>
      </c>
      <c r="B207" s="1" t="s">
        <v>462</v>
      </c>
      <c r="C207" s="1" t="s">
        <v>143</v>
      </c>
      <c r="D207" s="1" t="s">
        <v>703</v>
      </c>
      <c r="E207" s="4">
        <v>1</v>
      </c>
      <c r="F207" s="4">
        <v>1</v>
      </c>
      <c r="H207" s="2"/>
    </row>
    <row r="208" spans="1:8" x14ac:dyDescent="0.25">
      <c r="A208" s="1" t="s">
        <v>463</v>
      </c>
      <c r="B208" s="1" t="s">
        <v>463</v>
      </c>
      <c r="C208" s="1" t="s">
        <v>15</v>
      </c>
      <c r="D208" s="1"/>
      <c r="E208" s="4">
        <v>3</v>
      </c>
      <c r="F208" s="4">
        <v>3</v>
      </c>
      <c r="G208" s="5">
        <v>19.37</v>
      </c>
      <c r="H208" s="2">
        <f>+cvg[[#This Row],[UP€]]*cvg[[#This Row],[FINAL QTY]]</f>
        <v>58.11</v>
      </c>
    </row>
    <row r="209" spans="1:8" x14ac:dyDescent="0.25">
      <c r="A209" s="1" t="s">
        <v>464</v>
      </c>
      <c r="B209" s="1" t="s">
        <v>464</v>
      </c>
      <c r="C209" s="1" t="s">
        <v>145</v>
      </c>
      <c r="D209" s="1"/>
      <c r="E209" s="4">
        <v>4</v>
      </c>
      <c r="F209" s="4">
        <v>4</v>
      </c>
      <c r="G209" s="5">
        <v>13.49</v>
      </c>
      <c r="H209" s="2">
        <f>+cvg[[#This Row],[UP€]]*cvg[[#This Row],[FINAL QTY]]</f>
        <v>53.96</v>
      </c>
    </row>
    <row r="210" spans="1:8" x14ac:dyDescent="0.25">
      <c r="A210" s="1" t="s">
        <v>465</v>
      </c>
      <c r="B210" s="1" t="s">
        <v>465</v>
      </c>
      <c r="C210" s="1" t="s">
        <v>82</v>
      </c>
      <c r="D210" s="1"/>
      <c r="E210" s="4">
        <v>1</v>
      </c>
      <c r="F210" s="4">
        <v>1</v>
      </c>
      <c r="G210" s="5">
        <v>76.44</v>
      </c>
      <c r="H210" s="2">
        <f>+cvg[[#This Row],[UP€]]*cvg[[#This Row],[FINAL QTY]]</f>
        <v>76.44</v>
      </c>
    </row>
    <row r="211" spans="1:8" x14ac:dyDescent="0.25">
      <c r="A211" s="1" t="s">
        <v>466</v>
      </c>
      <c r="B211" s="1" t="s">
        <v>466</v>
      </c>
      <c r="C211" s="1" t="s">
        <v>32</v>
      </c>
      <c r="D211" s="1"/>
      <c r="E211" s="4">
        <v>1</v>
      </c>
      <c r="F211" s="4">
        <v>1</v>
      </c>
      <c r="G211" s="5">
        <v>43.92</v>
      </c>
      <c r="H211" s="2">
        <f>+cvg[[#This Row],[UP€]]*cvg[[#This Row],[FINAL QTY]]</f>
        <v>43.92</v>
      </c>
    </row>
    <row r="212" spans="1:8" x14ac:dyDescent="0.25">
      <c r="A212" s="1" t="s">
        <v>467</v>
      </c>
      <c r="B212" s="1" t="s">
        <v>467</v>
      </c>
      <c r="C212" s="1" t="s">
        <v>90</v>
      </c>
      <c r="D212" s="1"/>
      <c r="E212" s="4">
        <v>2</v>
      </c>
      <c r="F212" s="4">
        <v>2</v>
      </c>
      <c r="G212" s="5">
        <v>66.66</v>
      </c>
      <c r="H212" s="2">
        <f>+cvg[[#This Row],[UP€]]*cvg[[#This Row],[FINAL QTY]]</f>
        <v>133.32</v>
      </c>
    </row>
    <row r="213" spans="1:8" x14ac:dyDescent="0.25">
      <c r="A213" s="1" t="s">
        <v>468</v>
      </c>
      <c r="B213" s="1" t="s">
        <v>468</v>
      </c>
      <c r="C213" s="1" t="s">
        <v>146</v>
      </c>
      <c r="D213" s="1"/>
      <c r="E213" s="4">
        <v>4</v>
      </c>
      <c r="F213" s="4">
        <v>4</v>
      </c>
      <c r="G213" s="5">
        <v>19.66</v>
      </c>
      <c r="H213" s="2">
        <f>+cvg[[#This Row],[UP€]]*cvg[[#This Row],[FINAL QTY]]</f>
        <v>78.64</v>
      </c>
    </row>
    <row r="214" spans="1:8" x14ac:dyDescent="0.25">
      <c r="A214" s="1" t="s">
        <v>469</v>
      </c>
      <c r="B214" s="1" t="s">
        <v>469</v>
      </c>
      <c r="C214" s="1" t="s">
        <v>147</v>
      </c>
      <c r="D214" s="1"/>
      <c r="E214" s="4">
        <v>2</v>
      </c>
      <c r="F214" s="4">
        <v>2</v>
      </c>
      <c r="G214" s="5">
        <v>15.03</v>
      </c>
      <c r="H214" s="2">
        <f>+cvg[[#This Row],[UP€]]*cvg[[#This Row],[FINAL QTY]]</f>
        <v>30.06</v>
      </c>
    </row>
    <row r="215" spans="1:8" x14ac:dyDescent="0.25">
      <c r="A215" s="1" t="s">
        <v>470</v>
      </c>
      <c r="B215" s="1" t="s">
        <v>470</v>
      </c>
      <c r="C215" s="1" t="s">
        <v>148</v>
      </c>
      <c r="D215" s="1"/>
      <c r="E215" s="4">
        <v>5</v>
      </c>
      <c r="F215" s="4">
        <v>5</v>
      </c>
      <c r="G215" s="5">
        <v>8.44</v>
      </c>
      <c r="H215" s="2">
        <f>+cvg[[#This Row],[UP€]]*cvg[[#This Row],[FINAL QTY]]</f>
        <v>42.199999999999996</v>
      </c>
    </row>
    <row r="216" spans="1:8" x14ac:dyDescent="0.25">
      <c r="A216" s="1" t="s">
        <v>471</v>
      </c>
      <c r="B216" s="1" t="s">
        <v>471</v>
      </c>
      <c r="C216" s="1" t="s">
        <v>149</v>
      </c>
      <c r="D216" s="1"/>
      <c r="E216" s="4">
        <v>1</v>
      </c>
      <c r="F216" s="4">
        <v>1</v>
      </c>
      <c r="G216" s="5">
        <v>46.82</v>
      </c>
      <c r="H216" s="2">
        <f>+cvg[[#This Row],[UP€]]*cvg[[#This Row],[FINAL QTY]]</f>
        <v>46.82</v>
      </c>
    </row>
    <row r="217" spans="1:8" x14ac:dyDescent="0.25">
      <c r="A217" s="1" t="s">
        <v>472</v>
      </c>
      <c r="B217" s="1" t="s">
        <v>472</v>
      </c>
      <c r="C217" s="1" t="s">
        <v>150</v>
      </c>
      <c r="D217" s="1"/>
      <c r="E217" s="4">
        <v>5</v>
      </c>
      <c r="F217" s="4">
        <v>5</v>
      </c>
      <c r="G217" s="5">
        <v>133.82</v>
      </c>
      <c r="H217" s="2">
        <f>+cvg[[#This Row],[UP€]]*cvg[[#This Row],[FINAL QTY]]</f>
        <v>669.09999999999991</v>
      </c>
    </row>
    <row r="218" spans="1:8" x14ac:dyDescent="0.25">
      <c r="A218" s="1" t="s">
        <v>473</v>
      </c>
      <c r="B218" s="1" t="s">
        <v>473</v>
      </c>
      <c r="C218" s="1" t="s">
        <v>151</v>
      </c>
      <c r="D218" s="1"/>
      <c r="E218" s="4">
        <v>10</v>
      </c>
      <c r="F218" s="4">
        <v>10</v>
      </c>
      <c r="G218" s="5">
        <v>5.41</v>
      </c>
      <c r="H218" s="2">
        <f>+cvg[[#This Row],[UP€]]*cvg[[#This Row],[FINAL QTY]]</f>
        <v>54.1</v>
      </c>
    </row>
    <row r="219" spans="1:8" x14ac:dyDescent="0.25">
      <c r="A219" s="1" t="s">
        <v>474</v>
      </c>
      <c r="B219" s="1" t="s">
        <v>474</v>
      </c>
      <c r="C219" s="1" t="s">
        <v>152</v>
      </c>
      <c r="D219" s="1"/>
      <c r="E219" s="4">
        <v>1</v>
      </c>
      <c r="F219" s="4">
        <v>1</v>
      </c>
      <c r="G219" s="5">
        <v>10.01</v>
      </c>
      <c r="H219" s="2">
        <f>+cvg[[#This Row],[UP€]]*cvg[[#This Row],[FINAL QTY]]</f>
        <v>10.01</v>
      </c>
    </row>
    <row r="220" spans="1:8" x14ac:dyDescent="0.25">
      <c r="A220" s="1" t="s">
        <v>475</v>
      </c>
      <c r="B220" s="1" t="s">
        <v>475</v>
      </c>
      <c r="C220" s="1" t="s">
        <v>16</v>
      </c>
      <c r="D220" s="1"/>
      <c r="E220" s="4">
        <v>5</v>
      </c>
      <c r="F220" s="4">
        <v>5</v>
      </c>
      <c r="G220" s="5">
        <v>3.66</v>
      </c>
      <c r="H220" s="2">
        <f>+cvg[[#This Row],[UP€]]*cvg[[#This Row],[FINAL QTY]]</f>
        <v>18.3</v>
      </c>
    </row>
    <row r="221" spans="1:8" x14ac:dyDescent="0.25">
      <c r="A221" s="1" t="s">
        <v>476</v>
      </c>
      <c r="B221" s="1" t="s">
        <v>476</v>
      </c>
      <c r="C221" s="1" t="s">
        <v>16</v>
      </c>
      <c r="D221" s="1"/>
      <c r="E221" s="4">
        <v>10</v>
      </c>
      <c r="F221" s="4">
        <v>10</v>
      </c>
      <c r="G221" s="5">
        <v>4.9000000000000004</v>
      </c>
      <c r="H221" s="2">
        <f>+cvg[[#This Row],[UP€]]*cvg[[#This Row],[FINAL QTY]]</f>
        <v>49</v>
      </c>
    </row>
    <row r="222" spans="1:8" x14ac:dyDescent="0.25">
      <c r="A222" s="1" t="s">
        <v>477</v>
      </c>
      <c r="B222" s="1" t="s">
        <v>477</v>
      </c>
      <c r="C222" s="1" t="s">
        <v>153</v>
      </c>
      <c r="D222" s="1"/>
      <c r="E222" s="4">
        <v>2</v>
      </c>
      <c r="F222" s="4">
        <v>2</v>
      </c>
      <c r="G222" s="5">
        <v>9.64</v>
      </c>
      <c r="H222" s="2">
        <f>+cvg[[#This Row],[UP€]]*cvg[[#This Row],[FINAL QTY]]</f>
        <v>19.28</v>
      </c>
    </row>
    <row r="223" spans="1:8" x14ac:dyDescent="0.25">
      <c r="A223" s="1" t="s">
        <v>478</v>
      </c>
      <c r="B223" s="1" t="s">
        <v>478</v>
      </c>
      <c r="C223" s="1" t="s">
        <v>154</v>
      </c>
      <c r="D223" s="1"/>
      <c r="E223" s="4">
        <v>2</v>
      </c>
      <c r="F223" s="4">
        <v>2</v>
      </c>
      <c r="G223" s="5">
        <v>7.85</v>
      </c>
      <c r="H223" s="2">
        <f>+cvg[[#This Row],[UP€]]*cvg[[#This Row],[FINAL QTY]]</f>
        <v>15.7</v>
      </c>
    </row>
    <row r="224" spans="1:8" x14ac:dyDescent="0.25">
      <c r="A224" s="1" t="s">
        <v>479</v>
      </c>
      <c r="B224" s="1" t="s">
        <v>479</v>
      </c>
      <c r="C224" s="1" t="s">
        <v>155</v>
      </c>
      <c r="D224" s="1"/>
      <c r="E224" s="4">
        <v>5</v>
      </c>
      <c r="F224" s="4">
        <v>5</v>
      </c>
      <c r="G224" s="5">
        <v>4.33</v>
      </c>
      <c r="H224" s="2">
        <f>+cvg[[#This Row],[UP€]]*cvg[[#This Row],[FINAL QTY]]</f>
        <v>21.65</v>
      </c>
    </row>
    <row r="225" spans="1:8" x14ac:dyDescent="0.25">
      <c r="A225" s="1" t="s">
        <v>480</v>
      </c>
      <c r="B225" s="1" t="s">
        <v>480</v>
      </c>
      <c r="C225" s="1" t="s">
        <v>156</v>
      </c>
      <c r="D225" s="1"/>
      <c r="E225" s="4">
        <v>2</v>
      </c>
      <c r="F225" s="4">
        <v>2</v>
      </c>
      <c r="G225" s="5">
        <v>5.27</v>
      </c>
      <c r="H225" s="2">
        <f>+cvg[[#This Row],[UP€]]*cvg[[#This Row],[FINAL QTY]]</f>
        <v>10.54</v>
      </c>
    </row>
    <row r="226" spans="1:8" x14ac:dyDescent="0.25">
      <c r="A226" s="1" t="s">
        <v>481</v>
      </c>
      <c r="B226" s="1" t="s">
        <v>481</v>
      </c>
      <c r="C226" s="1" t="s">
        <v>157</v>
      </c>
      <c r="D226" s="1"/>
      <c r="E226" s="4">
        <v>10</v>
      </c>
      <c r="F226" s="4">
        <v>10</v>
      </c>
      <c r="G226" s="5">
        <v>11.74</v>
      </c>
      <c r="H226" s="2">
        <f>+cvg[[#This Row],[UP€]]*cvg[[#This Row],[FINAL QTY]]</f>
        <v>117.4</v>
      </c>
    </row>
    <row r="227" spans="1:8" x14ac:dyDescent="0.25">
      <c r="A227" s="1" t="s">
        <v>482</v>
      </c>
      <c r="B227" s="1" t="s">
        <v>482</v>
      </c>
      <c r="C227" s="1" t="s">
        <v>158</v>
      </c>
      <c r="D227" s="1"/>
      <c r="E227" s="4">
        <v>2</v>
      </c>
      <c r="F227" s="4">
        <v>2</v>
      </c>
      <c r="G227" s="5">
        <v>19.96</v>
      </c>
      <c r="H227" s="2">
        <f>+cvg[[#This Row],[UP€]]*cvg[[#This Row],[FINAL QTY]]</f>
        <v>39.92</v>
      </c>
    </row>
    <row r="228" spans="1:8" x14ac:dyDescent="0.25">
      <c r="A228" s="1" t="s">
        <v>483</v>
      </c>
      <c r="B228" s="1" t="s">
        <v>483</v>
      </c>
      <c r="C228" s="1" t="s">
        <v>159</v>
      </c>
      <c r="D228" s="1"/>
      <c r="E228" s="4">
        <v>1</v>
      </c>
      <c r="F228" s="4">
        <v>1</v>
      </c>
      <c r="G228" s="5">
        <v>74.819999999999993</v>
      </c>
      <c r="H228" s="2">
        <f>+cvg[[#This Row],[UP€]]*cvg[[#This Row],[FINAL QTY]]</f>
        <v>74.819999999999993</v>
      </c>
    </row>
    <row r="229" spans="1:8" x14ac:dyDescent="0.25">
      <c r="A229" s="1" t="s">
        <v>484</v>
      </c>
      <c r="B229" s="1" t="s">
        <v>484</v>
      </c>
      <c r="C229" s="1" t="s">
        <v>160</v>
      </c>
      <c r="D229" s="1"/>
      <c r="E229" s="4">
        <v>1</v>
      </c>
      <c r="F229" s="4">
        <v>1</v>
      </c>
      <c r="G229" s="5">
        <v>141.86000000000001</v>
      </c>
      <c r="H229" s="2">
        <f>+cvg[[#This Row],[UP€]]*cvg[[#This Row],[FINAL QTY]]</f>
        <v>141.86000000000001</v>
      </c>
    </row>
    <row r="230" spans="1:8" x14ac:dyDescent="0.25">
      <c r="A230" s="1" t="s">
        <v>485</v>
      </c>
      <c r="B230" s="1" t="s">
        <v>485</v>
      </c>
      <c r="C230" s="1" t="s">
        <v>146</v>
      </c>
      <c r="D230" s="1"/>
      <c r="E230" s="4">
        <v>10</v>
      </c>
      <c r="F230" s="4">
        <v>10</v>
      </c>
      <c r="G230" s="5">
        <v>19.940000000000001</v>
      </c>
      <c r="H230" s="2">
        <f>+cvg[[#This Row],[UP€]]*cvg[[#This Row],[FINAL QTY]]</f>
        <v>199.4</v>
      </c>
    </row>
    <row r="231" spans="1:8" x14ac:dyDescent="0.25">
      <c r="A231" s="1" t="s">
        <v>486</v>
      </c>
      <c r="B231" s="1" t="s">
        <v>486</v>
      </c>
      <c r="C231" s="1" t="s">
        <v>161</v>
      </c>
      <c r="D231" s="1"/>
      <c r="E231" s="4">
        <v>10</v>
      </c>
      <c r="F231" s="4">
        <v>10</v>
      </c>
      <c r="G231" s="5">
        <v>10.28</v>
      </c>
      <c r="H231" s="2">
        <f>+cvg[[#This Row],[UP€]]*cvg[[#This Row],[FINAL QTY]]</f>
        <v>102.8</v>
      </c>
    </row>
    <row r="232" spans="1:8" x14ac:dyDescent="0.25">
      <c r="A232" s="1" t="s">
        <v>487</v>
      </c>
      <c r="B232" s="1" t="s">
        <v>487</v>
      </c>
      <c r="C232" s="1" t="s">
        <v>162</v>
      </c>
      <c r="D232" s="1"/>
      <c r="E232" s="4">
        <v>1</v>
      </c>
      <c r="F232" s="4">
        <v>1</v>
      </c>
      <c r="G232" s="5">
        <v>35.18</v>
      </c>
      <c r="H232" s="2">
        <f>+cvg[[#This Row],[UP€]]*cvg[[#This Row],[FINAL QTY]]</f>
        <v>35.18</v>
      </c>
    </row>
    <row r="233" spans="1:8" x14ac:dyDescent="0.25">
      <c r="A233" s="1" t="s">
        <v>488</v>
      </c>
      <c r="B233" s="1" t="s">
        <v>488</v>
      </c>
      <c r="C233" s="1" t="s">
        <v>13</v>
      </c>
      <c r="D233" s="1"/>
      <c r="E233" s="4">
        <v>5</v>
      </c>
      <c r="F233" s="4">
        <v>5</v>
      </c>
      <c r="G233" s="5">
        <v>11.24</v>
      </c>
      <c r="H233" s="2">
        <f>+cvg[[#This Row],[UP€]]*cvg[[#This Row],[FINAL QTY]]</f>
        <v>56.2</v>
      </c>
    </row>
    <row r="234" spans="1:8" x14ac:dyDescent="0.25">
      <c r="A234" s="1" t="s">
        <v>489</v>
      </c>
      <c r="B234" s="1" t="s">
        <v>489</v>
      </c>
      <c r="C234" s="1" t="s">
        <v>82</v>
      </c>
      <c r="D234" s="1"/>
      <c r="E234" s="4">
        <v>1</v>
      </c>
      <c r="F234" s="4">
        <v>1</v>
      </c>
      <c r="G234" s="5">
        <v>95.44</v>
      </c>
      <c r="H234" s="2">
        <f>+cvg[[#This Row],[UP€]]*cvg[[#This Row],[FINAL QTY]]</f>
        <v>95.44</v>
      </c>
    </row>
    <row r="235" spans="1:8" x14ac:dyDescent="0.25">
      <c r="A235" s="1" t="s">
        <v>490</v>
      </c>
      <c r="B235" s="1" t="s">
        <v>490</v>
      </c>
      <c r="C235" s="1" t="s">
        <v>163</v>
      </c>
      <c r="D235" s="1"/>
      <c r="E235" s="4">
        <v>1</v>
      </c>
      <c r="F235" s="4">
        <v>1</v>
      </c>
      <c r="G235" s="5">
        <v>131.03</v>
      </c>
      <c r="H235" s="2">
        <f>+cvg[[#This Row],[UP€]]*cvg[[#This Row],[FINAL QTY]]</f>
        <v>131.03</v>
      </c>
    </row>
    <row r="236" spans="1:8" x14ac:dyDescent="0.25">
      <c r="A236" s="1" t="s">
        <v>491</v>
      </c>
      <c r="B236" s="1" t="s">
        <v>491</v>
      </c>
      <c r="C236" s="1" t="s">
        <v>136</v>
      </c>
      <c r="D236" s="1"/>
      <c r="E236" s="4">
        <v>2</v>
      </c>
      <c r="F236" s="4">
        <v>2</v>
      </c>
      <c r="G236" s="5">
        <v>23.2</v>
      </c>
      <c r="H236" s="2">
        <f>+cvg[[#This Row],[UP€]]*cvg[[#This Row],[FINAL QTY]]</f>
        <v>46.4</v>
      </c>
    </row>
    <row r="237" spans="1:8" x14ac:dyDescent="0.25">
      <c r="A237" s="1" t="s">
        <v>492</v>
      </c>
      <c r="B237" s="1" t="s">
        <v>492</v>
      </c>
      <c r="C237" s="1" t="s">
        <v>154</v>
      </c>
      <c r="D237" s="1"/>
      <c r="E237" s="4">
        <v>5</v>
      </c>
      <c r="F237" s="4">
        <v>5</v>
      </c>
      <c r="G237" s="5">
        <v>8.49</v>
      </c>
      <c r="H237" s="2">
        <f>+cvg[[#This Row],[UP€]]*cvg[[#This Row],[FINAL QTY]]</f>
        <v>42.45</v>
      </c>
    </row>
    <row r="238" spans="1:8" x14ac:dyDescent="0.25">
      <c r="A238" s="1" t="s">
        <v>493</v>
      </c>
      <c r="B238" s="1" t="s">
        <v>493</v>
      </c>
      <c r="C238" s="1" t="s">
        <v>82</v>
      </c>
      <c r="D238" s="1"/>
      <c r="E238" s="4">
        <v>1</v>
      </c>
      <c r="F238" s="4">
        <v>1</v>
      </c>
      <c r="G238" s="5">
        <v>140.61000000000001</v>
      </c>
      <c r="H238" s="2">
        <f>+cvg[[#This Row],[UP€]]*cvg[[#This Row],[FINAL QTY]]</f>
        <v>140.61000000000001</v>
      </c>
    </row>
    <row r="239" spans="1:8" x14ac:dyDescent="0.25">
      <c r="A239" s="1" t="s">
        <v>494</v>
      </c>
      <c r="B239" s="1" t="s">
        <v>494</v>
      </c>
      <c r="C239" s="1" t="s">
        <v>82</v>
      </c>
      <c r="D239" s="1"/>
      <c r="E239" s="4">
        <v>2</v>
      </c>
      <c r="F239" s="4">
        <v>2</v>
      </c>
      <c r="G239" s="5">
        <v>140.61000000000001</v>
      </c>
      <c r="H239" s="2">
        <f>+cvg[[#This Row],[UP€]]*cvg[[#This Row],[FINAL QTY]]</f>
        <v>281.22000000000003</v>
      </c>
    </row>
    <row r="240" spans="1:8" x14ac:dyDescent="0.25">
      <c r="A240" s="1" t="s">
        <v>495</v>
      </c>
      <c r="B240" s="1" t="s">
        <v>495</v>
      </c>
      <c r="C240" s="1" t="s">
        <v>164</v>
      </c>
      <c r="D240" s="1"/>
      <c r="E240" s="4">
        <v>2</v>
      </c>
      <c r="F240" s="4">
        <v>2</v>
      </c>
      <c r="G240" s="5">
        <v>42.1</v>
      </c>
      <c r="H240" s="2">
        <f>+cvg[[#This Row],[UP€]]*cvg[[#This Row],[FINAL QTY]]</f>
        <v>84.2</v>
      </c>
    </row>
    <row r="241" spans="1:8" x14ac:dyDescent="0.25">
      <c r="A241" s="1" t="s">
        <v>496</v>
      </c>
      <c r="B241" s="1" t="s">
        <v>496</v>
      </c>
      <c r="C241" s="1" t="s">
        <v>165</v>
      </c>
      <c r="D241" s="1"/>
      <c r="E241" s="4">
        <v>5</v>
      </c>
      <c r="F241" s="4">
        <v>5</v>
      </c>
      <c r="G241" s="5">
        <v>9.48</v>
      </c>
      <c r="H241" s="2">
        <f>+cvg[[#This Row],[UP€]]*cvg[[#This Row],[FINAL QTY]]</f>
        <v>47.400000000000006</v>
      </c>
    </row>
    <row r="242" spans="1:8" x14ac:dyDescent="0.25">
      <c r="A242" s="1" t="s">
        <v>497</v>
      </c>
      <c r="B242" s="1" t="s">
        <v>497</v>
      </c>
      <c r="C242" s="1" t="s">
        <v>24</v>
      </c>
      <c r="D242" s="1"/>
      <c r="E242" s="4">
        <v>20</v>
      </c>
      <c r="F242" s="4">
        <v>20</v>
      </c>
      <c r="G242" s="5">
        <v>29.42</v>
      </c>
      <c r="H242" s="2">
        <f>+cvg[[#This Row],[UP€]]*cvg[[#This Row],[FINAL QTY]]</f>
        <v>588.40000000000009</v>
      </c>
    </row>
    <row r="243" spans="1:8" x14ac:dyDescent="0.25">
      <c r="A243" s="1" t="s">
        <v>498</v>
      </c>
      <c r="B243" s="1" t="s">
        <v>498</v>
      </c>
      <c r="C243" s="1" t="s">
        <v>166</v>
      </c>
      <c r="D243" s="1"/>
      <c r="E243" s="4">
        <v>2</v>
      </c>
      <c r="F243" s="4">
        <v>2</v>
      </c>
      <c r="G243" s="5">
        <v>91.11</v>
      </c>
      <c r="H243" s="2">
        <f>+cvg[[#This Row],[UP€]]*cvg[[#This Row],[FINAL QTY]]</f>
        <v>182.22</v>
      </c>
    </row>
    <row r="244" spans="1:8" x14ac:dyDescent="0.25">
      <c r="A244" s="1" t="s">
        <v>499</v>
      </c>
      <c r="B244" s="1" t="s">
        <v>499</v>
      </c>
      <c r="C244" s="1" t="s">
        <v>167</v>
      </c>
      <c r="D244" s="1"/>
      <c r="E244" s="4">
        <v>1</v>
      </c>
      <c r="F244" s="4">
        <v>1</v>
      </c>
      <c r="G244" s="5">
        <v>38.97</v>
      </c>
      <c r="H244" s="2">
        <f>+cvg[[#This Row],[UP€]]*cvg[[#This Row],[FINAL QTY]]</f>
        <v>38.97</v>
      </c>
    </row>
    <row r="245" spans="1:8" x14ac:dyDescent="0.25">
      <c r="A245" s="1" t="s">
        <v>500</v>
      </c>
      <c r="B245" s="1" t="s">
        <v>500</v>
      </c>
      <c r="C245" s="1" t="s">
        <v>167</v>
      </c>
      <c r="D245" s="1"/>
      <c r="E245" s="4">
        <v>1</v>
      </c>
      <c r="F245" s="4">
        <v>1</v>
      </c>
      <c r="G245" s="5">
        <v>38.97</v>
      </c>
      <c r="H245" s="2">
        <f>+cvg[[#This Row],[UP€]]*cvg[[#This Row],[FINAL QTY]]</f>
        <v>38.97</v>
      </c>
    </row>
    <row r="246" spans="1:8" x14ac:dyDescent="0.25">
      <c r="A246" s="1" t="s">
        <v>501</v>
      </c>
      <c r="B246" s="1" t="s">
        <v>501</v>
      </c>
      <c r="C246" s="1" t="s">
        <v>2</v>
      </c>
      <c r="D246" s="1"/>
      <c r="E246" s="4">
        <v>2</v>
      </c>
      <c r="F246" s="4">
        <v>2</v>
      </c>
      <c r="G246" s="5">
        <v>26.42</v>
      </c>
      <c r="H246" s="2">
        <f>+cvg[[#This Row],[UP€]]*cvg[[#This Row],[FINAL QTY]]</f>
        <v>52.84</v>
      </c>
    </row>
    <row r="247" spans="1:8" x14ac:dyDescent="0.25">
      <c r="A247" s="1" t="s">
        <v>502</v>
      </c>
      <c r="B247" s="1" t="s">
        <v>502</v>
      </c>
      <c r="C247" s="1" t="s">
        <v>168</v>
      </c>
      <c r="D247" s="1"/>
      <c r="E247" s="4">
        <v>1</v>
      </c>
      <c r="F247" s="4">
        <v>1</v>
      </c>
      <c r="G247" s="5">
        <v>44.17</v>
      </c>
      <c r="H247" s="2">
        <f>+cvg[[#This Row],[UP€]]*cvg[[#This Row],[FINAL QTY]]</f>
        <v>44.17</v>
      </c>
    </row>
    <row r="248" spans="1:8" x14ac:dyDescent="0.25">
      <c r="A248" s="1" t="s">
        <v>503</v>
      </c>
      <c r="B248" s="1" t="s">
        <v>503</v>
      </c>
      <c r="C248" s="1" t="s">
        <v>169</v>
      </c>
      <c r="D248" s="1"/>
      <c r="E248" s="4">
        <v>1</v>
      </c>
      <c r="F248" s="4">
        <v>1</v>
      </c>
      <c r="G248" s="5">
        <v>41.91</v>
      </c>
      <c r="H248" s="2">
        <f>+cvg[[#This Row],[UP€]]*cvg[[#This Row],[FINAL QTY]]</f>
        <v>41.91</v>
      </c>
    </row>
    <row r="249" spans="1:8" x14ac:dyDescent="0.25">
      <c r="A249" s="1" t="s">
        <v>504</v>
      </c>
      <c r="B249" s="1" t="s">
        <v>504</v>
      </c>
      <c r="C249" s="1" t="s">
        <v>170</v>
      </c>
      <c r="D249" s="1"/>
      <c r="E249" s="4">
        <v>2</v>
      </c>
      <c r="F249" s="4">
        <v>2</v>
      </c>
      <c r="G249" s="5">
        <v>10.16</v>
      </c>
      <c r="H249" s="2">
        <f>+cvg[[#This Row],[UP€]]*cvg[[#This Row],[FINAL QTY]]</f>
        <v>20.32</v>
      </c>
    </row>
    <row r="250" spans="1:8" x14ac:dyDescent="0.25">
      <c r="A250" s="1" t="s">
        <v>505</v>
      </c>
      <c r="B250" s="1" t="s">
        <v>505</v>
      </c>
      <c r="C250" s="1" t="s">
        <v>127</v>
      </c>
      <c r="D250" s="1"/>
      <c r="E250" s="4">
        <v>3</v>
      </c>
      <c r="F250" s="4">
        <v>3</v>
      </c>
      <c r="G250" s="5">
        <v>10.44</v>
      </c>
      <c r="H250" s="2">
        <f>+cvg[[#This Row],[UP€]]*cvg[[#This Row],[FINAL QTY]]</f>
        <v>31.32</v>
      </c>
    </row>
    <row r="251" spans="1:8" x14ac:dyDescent="0.25">
      <c r="A251" s="1" t="s">
        <v>506</v>
      </c>
      <c r="B251" s="1" t="s">
        <v>506</v>
      </c>
      <c r="C251" s="1" t="s">
        <v>127</v>
      </c>
      <c r="D251" s="1"/>
      <c r="E251" s="4">
        <v>2</v>
      </c>
      <c r="F251" s="4">
        <v>2</v>
      </c>
      <c r="G251" s="5">
        <v>11.29</v>
      </c>
      <c r="H251" s="2">
        <f>+cvg[[#This Row],[UP€]]*cvg[[#This Row],[FINAL QTY]]</f>
        <v>22.58</v>
      </c>
    </row>
    <row r="252" spans="1:8" x14ac:dyDescent="0.25">
      <c r="A252" s="1" t="s">
        <v>507</v>
      </c>
      <c r="B252" s="1" t="s">
        <v>507</v>
      </c>
      <c r="C252" s="1" t="s">
        <v>127</v>
      </c>
      <c r="D252" s="1"/>
      <c r="E252" s="4">
        <v>4</v>
      </c>
      <c r="F252" s="4">
        <v>4</v>
      </c>
      <c r="G252" s="5">
        <v>8.23</v>
      </c>
      <c r="H252" s="2">
        <f>+cvg[[#This Row],[UP€]]*cvg[[#This Row],[FINAL QTY]]</f>
        <v>32.92</v>
      </c>
    </row>
    <row r="253" spans="1:8" x14ac:dyDescent="0.25">
      <c r="A253" s="1" t="s">
        <v>508</v>
      </c>
      <c r="B253" s="1" t="s">
        <v>508</v>
      </c>
      <c r="C253" s="1" t="s">
        <v>84</v>
      </c>
      <c r="D253" s="1"/>
      <c r="E253" s="4">
        <v>2</v>
      </c>
      <c r="F253" s="4">
        <v>2</v>
      </c>
      <c r="G253" s="5">
        <v>10.38</v>
      </c>
      <c r="H253" s="2">
        <f>+cvg[[#This Row],[UP€]]*cvg[[#This Row],[FINAL QTY]]</f>
        <v>20.76</v>
      </c>
    </row>
    <row r="254" spans="1:8" x14ac:dyDescent="0.25">
      <c r="A254" s="1" t="s">
        <v>509</v>
      </c>
      <c r="B254" s="1" t="s">
        <v>509</v>
      </c>
      <c r="C254" s="1" t="s">
        <v>171</v>
      </c>
      <c r="D254" s="1"/>
      <c r="E254" s="4">
        <v>1</v>
      </c>
      <c r="F254" s="4">
        <v>1</v>
      </c>
      <c r="G254" s="5">
        <v>230.62</v>
      </c>
      <c r="H254" s="2">
        <f>+cvg[[#This Row],[UP€]]*cvg[[#This Row],[FINAL QTY]]</f>
        <v>230.62</v>
      </c>
    </row>
    <row r="255" spans="1:8" x14ac:dyDescent="0.25">
      <c r="A255" s="1" t="s">
        <v>510</v>
      </c>
      <c r="B255" s="1" t="s">
        <v>510</v>
      </c>
      <c r="C255" s="1" t="s">
        <v>172</v>
      </c>
      <c r="D255" s="1"/>
      <c r="E255" s="4">
        <v>1</v>
      </c>
      <c r="F255" s="4">
        <v>1</v>
      </c>
      <c r="G255" s="5">
        <v>239.03</v>
      </c>
      <c r="H255" s="2">
        <f>+cvg[[#This Row],[UP€]]*cvg[[#This Row],[FINAL QTY]]</f>
        <v>239.03</v>
      </c>
    </row>
    <row r="256" spans="1:8" x14ac:dyDescent="0.25">
      <c r="A256" s="1" t="s">
        <v>511</v>
      </c>
      <c r="B256" s="1" t="s">
        <v>511</v>
      </c>
      <c r="C256" s="1" t="s">
        <v>90</v>
      </c>
      <c r="D256" s="1"/>
      <c r="E256" s="4">
        <v>3</v>
      </c>
      <c r="F256" s="4">
        <v>3</v>
      </c>
      <c r="G256" s="5">
        <v>30.1</v>
      </c>
      <c r="H256" s="2">
        <f>+cvg[[#This Row],[UP€]]*cvg[[#This Row],[FINAL QTY]]</f>
        <v>90.300000000000011</v>
      </c>
    </row>
    <row r="257" spans="1:8" x14ac:dyDescent="0.25">
      <c r="A257" s="1" t="s">
        <v>512</v>
      </c>
      <c r="B257" s="1" t="s">
        <v>512</v>
      </c>
      <c r="C257" s="1" t="s">
        <v>169</v>
      </c>
      <c r="D257" s="1"/>
      <c r="E257" s="4">
        <v>1</v>
      </c>
      <c r="F257" s="4">
        <v>1</v>
      </c>
      <c r="G257" s="5">
        <v>35.299999999999997</v>
      </c>
      <c r="H257" s="2">
        <f>+cvg[[#This Row],[UP€]]*cvg[[#This Row],[FINAL QTY]]</f>
        <v>35.299999999999997</v>
      </c>
    </row>
    <row r="258" spans="1:8" x14ac:dyDescent="0.25">
      <c r="A258" s="1" t="s">
        <v>513</v>
      </c>
      <c r="B258" s="1" t="s">
        <v>513</v>
      </c>
      <c r="C258" s="1" t="s">
        <v>133</v>
      </c>
      <c r="D258" s="1"/>
      <c r="E258" s="4">
        <v>2</v>
      </c>
      <c r="F258" s="4">
        <v>2</v>
      </c>
      <c r="G258" s="5">
        <v>14.77</v>
      </c>
      <c r="H258" s="2">
        <f>+cvg[[#This Row],[UP€]]*cvg[[#This Row],[FINAL QTY]]</f>
        <v>29.54</v>
      </c>
    </row>
    <row r="259" spans="1:8" x14ac:dyDescent="0.25">
      <c r="A259" s="1" t="s">
        <v>514</v>
      </c>
      <c r="B259" s="1" t="s">
        <v>514</v>
      </c>
      <c r="C259" s="1" t="s">
        <v>173</v>
      </c>
      <c r="D259" s="1"/>
      <c r="E259" s="4">
        <v>5</v>
      </c>
      <c r="F259" s="4">
        <v>5</v>
      </c>
      <c r="G259" s="5">
        <v>326.81</v>
      </c>
      <c r="H259" s="2">
        <f>+cvg[[#This Row],[UP€]]*cvg[[#This Row],[FINAL QTY]]</f>
        <v>1634.05</v>
      </c>
    </row>
    <row r="260" spans="1:8" x14ac:dyDescent="0.25">
      <c r="A260" s="1" t="s">
        <v>515</v>
      </c>
      <c r="B260" s="1" t="s">
        <v>515</v>
      </c>
      <c r="C260" s="1" t="s">
        <v>145</v>
      </c>
      <c r="D260" s="1"/>
      <c r="E260" s="4">
        <v>5</v>
      </c>
      <c r="F260" s="4">
        <v>5</v>
      </c>
      <c r="G260" s="5">
        <v>6.51</v>
      </c>
      <c r="H260" s="2">
        <f>+cvg[[#This Row],[UP€]]*cvg[[#This Row],[FINAL QTY]]</f>
        <v>32.549999999999997</v>
      </c>
    </row>
    <row r="261" spans="1:8" x14ac:dyDescent="0.25">
      <c r="A261" s="1" t="s">
        <v>516</v>
      </c>
      <c r="B261" s="1" t="s">
        <v>516</v>
      </c>
      <c r="C261" s="1" t="s">
        <v>174</v>
      </c>
      <c r="D261" s="1"/>
      <c r="E261" s="4">
        <v>2</v>
      </c>
      <c r="F261" s="4">
        <v>2</v>
      </c>
      <c r="G261" s="5">
        <v>69.680000000000007</v>
      </c>
      <c r="H261" s="2">
        <f>+cvg[[#This Row],[UP€]]*cvg[[#This Row],[FINAL QTY]]</f>
        <v>139.36000000000001</v>
      </c>
    </row>
    <row r="262" spans="1:8" x14ac:dyDescent="0.25">
      <c r="A262" s="1" t="s">
        <v>517</v>
      </c>
      <c r="B262" s="1" t="s">
        <v>517</v>
      </c>
      <c r="C262" s="1" t="s">
        <v>175</v>
      </c>
      <c r="D262" s="1"/>
      <c r="E262" s="4">
        <v>10</v>
      </c>
      <c r="F262" s="4">
        <v>10</v>
      </c>
      <c r="G262" s="5">
        <v>28.92</v>
      </c>
      <c r="H262" s="2">
        <f>+cvg[[#This Row],[UP€]]*cvg[[#This Row],[FINAL QTY]]</f>
        <v>289.20000000000005</v>
      </c>
    </row>
    <row r="263" spans="1:8" x14ac:dyDescent="0.25">
      <c r="A263" s="1" t="s">
        <v>518</v>
      </c>
      <c r="B263" s="1" t="s">
        <v>518</v>
      </c>
      <c r="C263" s="1" t="s">
        <v>176</v>
      </c>
      <c r="D263" s="1"/>
      <c r="E263" s="4">
        <v>5</v>
      </c>
      <c r="F263" s="4">
        <v>5</v>
      </c>
      <c r="G263" s="5">
        <v>58.66</v>
      </c>
      <c r="H263" s="2">
        <f>+cvg[[#This Row],[UP€]]*cvg[[#This Row],[FINAL QTY]]</f>
        <v>293.29999999999995</v>
      </c>
    </row>
    <row r="264" spans="1:8" x14ac:dyDescent="0.25">
      <c r="A264" s="1" t="s">
        <v>519</v>
      </c>
      <c r="B264" s="1" t="s">
        <v>519</v>
      </c>
      <c r="C264" s="1" t="s">
        <v>177</v>
      </c>
      <c r="D264" s="1"/>
      <c r="E264" s="4">
        <v>2</v>
      </c>
      <c r="F264" s="4">
        <v>2</v>
      </c>
      <c r="G264" s="5">
        <v>3.38</v>
      </c>
      <c r="H264" s="2">
        <f>+cvg[[#This Row],[UP€]]*cvg[[#This Row],[FINAL QTY]]</f>
        <v>6.76</v>
      </c>
    </row>
    <row r="265" spans="1:8" x14ac:dyDescent="0.25">
      <c r="A265" s="1" t="s">
        <v>520</v>
      </c>
      <c r="B265" s="1" t="s">
        <v>520</v>
      </c>
      <c r="C265" s="1" t="s">
        <v>178</v>
      </c>
      <c r="D265" s="1"/>
      <c r="E265" s="4">
        <v>2</v>
      </c>
      <c r="F265" s="4">
        <v>2</v>
      </c>
      <c r="G265" s="5">
        <v>25</v>
      </c>
      <c r="H265" s="2">
        <f>+cvg[[#This Row],[UP€]]*cvg[[#This Row],[FINAL QTY]]</f>
        <v>50</v>
      </c>
    </row>
    <row r="266" spans="1:8" x14ac:dyDescent="0.25">
      <c r="A266" s="1" t="s">
        <v>521</v>
      </c>
      <c r="B266" s="1" t="s">
        <v>521</v>
      </c>
      <c r="C266" s="1" t="s">
        <v>179</v>
      </c>
      <c r="D266" s="1"/>
      <c r="E266" s="4">
        <v>2</v>
      </c>
      <c r="F266" s="4">
        <v>2</v>
      </c>
      <c r="G266" s="5">
        <v>12.89</v>
      </c>
      <c r="H266" s="2">
        <f>+cvg[[#This Row],[UP€]]*cvg[[#This Row],[FINAL QTY]]</f>
        <v>25.78</v>
      </c>
    </row>
    <row r="267" spans="1:8" x14ac:dyDescent="0.25">
      <c r="A267" s="1" t="s">
        <v>522</v>
      </c>
      <c r="B267" s="1" t="s">
        <v>522</v>
      </c>
      <c r="C267" s="1" t="s">
        <v>127</v>
      </c>
      <c r="D267" s="1"/>
      <c r="E267" s="4">
        <v>2</v>
      </c>
      <c r="F267" s="4">
        <v>2</v>
      </c>
      <c r="G267" s="5">
        <v>39.380000000000003</v>
      </c>
      <c r="H267" s="2">
        <f>+cvg[[#This Row],[UP€]]*cvg[[#This Row],[FINAL QTY]]</f>
        <v>78.760000000000005</v>
      </c>
    </row>
    <row r="268" spans="1:8" x14ac:dyDescent="0.25">
      <c r="A268" s="1" t="s">
        <v>523</v>
      </c>
      <c r="B268" s="1" t="s">
        <v>523</v>
      </c>
      <c r="C268" s="1" t="s">
        <v>154</v>
      </c>
      <c r="D268" s="1"/>
      <c r="E268" s="4">
        <v>2</v>
      </c>
      <c r="F268" s="4">
        <v>2</v>
      </c>
      <c r="G268" s="5">
        <v>12.14</v>
      </c>
      <c r="H268" s="2">
        <f>+cvg[[#This Row],[UP€]]*cvg[[#This Row],[FINAL QTY]]</f>
        <v>24.28</v>
      </c>
    </row>
    <row r="269" spans="1:8" x14ac:dyDescent="0.25">
      <c r="A269" s="1" t="s">
        <v>524</v>
      </c>
      <c r="B269" s="1" t="s">
        <v>524</v>
      </c>
      <c r="C269" s="1" t="s">
        <v>154</v>
      </c>
      <c r="D269" s="1"/>
      <c r="E269" s="4">
        <v>5</v>
      </c>
      <c r="F269" s="4">
        <v>5</v>
      </c>
      <c r="G269" s="5">
        <v>9.33</v>
      </c>
      <c r="H269" s="2">
        <f>+cvg[[#This Row],[UP€]]*cvg[[#This Row],[FINAL QTY]]</f>
        <v>46.65</v>
      </c>
    </row>
    <row r="270" spans="1:8" x14ac:dyDescent="0.25">
      <c r="A270" s="1" t="s">
        <v>525</v>
      </c>
      <c r="B270" s="1" t="s">
        <v>525</v>
      </c>
      <c r="C270" s="1" t="s">
        <v>121</v>
      </c>
      <c r="D270" s="1"/>
      <c r="E270" s="4">
        <v>1</v>
      </c>
      <c r="F270" s="4">
        <v>1</v>
      </c>
      <c r="G270" s="5">
        <v>114.82</v>
      </c>
      <c r="H270" s="2">
        <f>+cvg[[#This Row],[UP€]]*cvg[[#This Row],[FINAL QTY]]</f>
        <v>114.82</v>
      </c>
    </row>
    <row r="271" spans="1:8" x14ac:dyDescent="0.25">
      <c r="A271" s="1" t="s">
        <v>526</v>
      </c>
      <c r="B271" s="1" t="s">
        <v>526</v>
      </c>
      <c r="C271" s="1" t="s">
        <v>180</v>
      </c>
      <c r="D271" s="1"/>
      <c r="E271" s="4">
        <v>2</v>
      </c>
      <c r="F271" s="4">
        <v>2</v>
      </c>
      <c r="G271" s="5">
        <v>28.28</v>
      </c>
      <c r="H271" s="2">
        <f>+cvg[[#This Row],[UP€]]*cvg[[#This Row],[FINAL QTY]]</f>
        <v>56.56</v>
      </c>
    </row>
    <row r="272" spans="1:8" x14ac:dyDescent="0.25">
      <c r="A272" s="1" t="s">
        <v>527</v>
      </c>
      <c r="B272" s="1" t="s">
        <v>527</v>
      </c>
      <c r="C272" s="1" t="s">
        <v>181</v>
      </c>
      <c r="D272" s="1"/>
      <c r="E272" s="4">
        <v>1</v>
      </c>
      <c r="F272" s="4">
        <v>1</v>
      </c>
      <c r="G272" s="5">
        <v>71.78</v>
      </c>
      <c r="H272" s="2">
        <f>+cvg[[#This Row],[UP€]]*cvg[[#This Row],[FINAL QTY]]</f>
        <v>71.78</v>
      </c>
    </row>
    <row r="273" spans="1:8" x14ac:dyDescent="0.25">
      <c r="A273" s="1" t="s">
        <v>528</v>
      </c>
      <c r="B273" s="1" t="s">
        <v>528</v>
      </c>
      <c r="C273" s="1" t="s">
        <v>182</v>
      </c>
      <c r="D273" s="1"/>
      <c r="E273" s="4">
        <v>2</v>
      </c>
      <c r="F273" s="4">
        <v>2</v>
      </c>
      <c r="G273" s="5">
        <v>28.24</v>
      </c>
      <c r="H273" s="2">
        <f>+cvg[[#This Row],[UP€]]*cvg[[#This Row],[FINAL QTY]]</f>
        <v>56.48</v>
      </c>
    </row>
    <row r="274" spans="1:8" x14ac:dyDescent="0.25">
      <c r="A274" s="1" t="s">
        <v>529</v>
      </c>
      <c r="B274" s="1" t="s">
        <v>529</v>
      </c>
      <c r="C274" s="1" t="s">
        <v>183</v>
      </c>
      <c r="D274" s="1"/>
      <c r="E274" s="4">
        <v>2</v>
      </c>
      <c r="F274" s="4">
        <v>2</v>
      </c>
      <c r="G274" s="5">
        <v>28.9</v>
      </c>
      <c r="H274" s="2">
        <f>+cvg[[#This Row],[UP€]]*cvg[[#This Row],[FINAL QTY]]</f>
        <v>57.8</v>
      </c>
    </row>
    <row r="275" spans="1:8" x14ac:dyDescent="0.25">
      <c r="A275" s="1" t="s">
        <v>530</v>
      </c>
      <c r="B275" s="1" t="s">
        <v>530</v>
      </c>
      <c r="C275" s="1" t="s">
        <v>181</v>
      </c>
      <c r="D275" s="1"/>
      <c r="E275" s="4">
        <v>7</v>
      </c>
      <c r="F275" s="4">
        <v>7</v>
      </c>
      <c r="G275" s="5">
        <v>58.44</v>
      </c>
      <c r="H275" s="2">
        <f>+cvg[[#This Row],[UP€]]*cvg[[#This Row],[FINAL QTY]]</f>
        <v>409.08</v>
      </c>
    </row>
    <row r="276" spans="1:8" x14ac:dyDescent="0.25">
      <c r="A276" s="1" t="s">
        <v>531</v>
      </c>
      <c r="B276" s="1" t="s">
        <v>531</v>
      </c>
      <c r="C276" s="1" t="s">
        <v>181</v>
      </c>
      <c r="D276" s="1"/>
      <c r="E276" s="4">
        <v>2</v>
      </c>
      <c r="F276" s="4">
        <v>2</v>
      </c>
      <c r="G276" s="5">
        <v>58.44</v>
      </c>
      <c r="H276" s="2">
        <f>+cvg[[#This Row],[UP€]]*cvg[[#This Row],[FINAL QTY]]</f>
        <v>116.88</v>
      </c>
    </row>
    <row r="277" spans="1:8" x14ac:dyDescent="0.25">
      <c r="A277" s="1" t="s">
        <v>532</v>
      </c>
      <c r="B277" s="1" t="s">
        <v>532</v>
      </c>
      <c r="C277" s="1" t="s">
        <v>184</v>
      </c>
      <c r="D277" s="1"/>
      <c r="E277" s="4">
        <v>3</v>
      </c>
      <c r="F277" s="4">
        <v>3</v>
      </c>
      <c r="G277" s="5">
        <v>28.24</v>
      </c>
      <c r="H277" s="2">
        <f>+cvg[[#This Row],[UP€]]*cvg[[#This Row],[FINAL QTY]]</f>
        <v>84.72</v>
      </c>
    </row>
    <row r="278" spans="1:8" x14ac:dyDescent="0.25">
      <c r="A278" s="1" t="s">
        <v>533</v>
      </c>
      <c r="B278" s="1" t="s">
        <v>533</v>
      </c>
      <c r="C278" s="1" t="s">
        <v>185</v>
      </c>
      <c r="D278" s="1"/>
      <c r="E278" s="4">
        <v>2</v>
      </c>
      <c r="F278" s="4">
        <v>2</v>
      </c>
      <c r="G278" s="5">
        <v>41.61</v>
      </c>
      <c r="H278" s="2">
        <f>+cvg[[#This Row],[UP€]]*cvg[[#This Row],[FINAL QTY]]</f>
        <v>83.22</v>
      </c>
    </row>
    <row r="279" spans="1:8" x14ac:dyDescent="0.25">
      <c r="A279" s="1" t="s">
        <v>534</v>
      </c>
      <c r="B279" s="1" t="s">
        <v>534</v>
      </c>
      <c r="C279" s="1" t="s">
        <v>186</v>
      </c>
      <c r="D279" s="1"/>
      <c r="E279" s="4">
        <v>3</v>
      </c>
      <c r="F279" s="4">
        <v>3</v>
      </c>
      <c r="G279" s="5">
        <v>27.66</v>
      </c>
      <c r="H279" s="2">
        <f>+cvg[[#This Row],[UP€]]*cvg[[#This Row],[FINAL QTY]]</f>
        <v>82.98</v>
      </c>
    </row>
    <row r="280" spans="1:8" x14ac:dyDescent="0.25">
      <c r="A280" s="1" t="s">
        <v>535</v>
      </c>
      <c r="B280" s="1" t="s">
        <v>535</v>
      </c>
      <c r="C280" s="1" t="s">
        <v>187</v>
      </c>
      <c r="D280" s="1"/>
      <c r="E280" s="4">
        <v>30</v>
      </c>
      <c r="F280" s="4">
        <v>30</v>
      </c>
      <c r="G280" s="5">
        <v>68.739999999999995</v>
      </c>
      <c r="H280" s="2">
        <f>+cvg[[#This Row],[UP€]]*cvg[[#This Row],[FINAL QTY]]</f>
        <v>2062.1999999999998</v>
      </c>
    </row>
    <row r="281" spans="1:8" x14ac:dyDescent="0.25">
      <c r="A281" s="1" t="s">
        <v>536</v>
      </c>
      <c r="B281" s="1" t="s">
        <v>536</v>
      </c>
      <c r="C281" s="1" t="s">
        <v>188</v>
      </c>
      <c r="D281" s="1"/>
      <c r="E281" s="4">
        <v>5</v>
      </c>
      <c r="F281" s="4">
        <v>5</v>
      </c>
      <c r="G281" s="5">
        <v>9.56</v>
      </c>
      <c r="H281" s="2">
        <f>+cvg[[#This Row],[UP€]]*cvg[[#This Row],[FINAL QTY]]</f>
        <v>47.800000000000004</v>
      </c>
    </row>
    <row r="282" spans="1:8" x14ac:dyDescent="0.25">
      <c r="A282" s="1" t="s">
        <v>537</v>
      </c>
      <c r="B282" s="1" t="s">
        <v>537</v>
      </c>
      <c r="C282" s="1" t="s">
        <v>189</v>
      </c>
      <c r="D282" s="1"/>
      <c r="E282" s="4">
        <v>7</v>
      </c>
      <c r="F282" s="4">
        <v>7</v>
      </c>
      <c r="G282" s="5">
        <v>23.39</v>
      </c>
      <c r="H282" s="2">
        <f>+cvg[[#This Row],[UP€]]*cvg[[#This Row],[FINAL QTY]]</f>
        <v>163.73000000000002</v>
      </c>
    </row>
    <row r="283" spans="1:8" x14ac:dyDescent="0.25">
      <c r="A283" s="1" t="s">
        <v>538</v>
      </c>
      <c r="B283" s="1" t="s">
        <v>538</v>
      </c>
      <c r="C283" s="1" t="s">
        <v>190</v>
      </c>
      <c r="D283" s="1"/>
      <c r="E283" s="4">
        <v>15</v>
      </c>
      <c r="F283" s="4">
        <v>15</v>
      </c>
      <c r="G283" s="5">
        <v>57.75</v>
      </c>
      <c r="H283" s="2">
        <f>+cvg[[#This Row],[UP€]]*cvg[[#This Row],[FINAL QTY]]</f>
        <v>866.25</v>
      </c>
    </row>
    <row r="284" spans="1:8" x14ac:dyDescent="0.25">
      <c r="A284" s="1" t="s">
        <v>539</v>
      </c>
      <c r="B284" s="1" t="s">
        <v>539</v>
      </c>
      <c r="C284" s="1" t="s">
        <v>121</v>
      </c>
      <c r="D284" s="1"/>
      <c r="E284" s="4">
        <v>2</v>
      </c>
      <c r="F284" s="4">
        <v>2</v>
      </c>
      <c r="G284" s="5">
        <v>104.06</v>
      </c>
      <c r="H284" s="2">
        <f>+cvg[[#This Row],[UP€]]*cvg[[#This Row],[FINAL QTY]]</f>
        <v>208.12</v>
      </c>
    </row>
    <row r="285" spans="1:8" x14ac:dyDescent="0.25">
      <c r="A285" s="1" t="s">
        <v>540</v>
      </c>
      <c r="B285" s="1" t="s">
        <v>540</v>
      </c>
      <c r="C285" s="1" t="s">
        <v>127</v>
      </c>
      <c r="D285" s="1"/>
      <c r="E285" s="4">
        <v>2</v>
      </c>
      <c r="F285" s="4">
        <v>2</v>
      </c>
      <c r="G285" s="5">
        <v>6.84</v>
      </c>
      <c r="H285" s="2">
        <f>+cvg[[#This Row],[UP€]]*cvg[[#This Row],[FINAL QTY]]</f>
        <v>13.68</v>
      </c>
    </row>
    <row r="286" spans="1:8" x14ac:dyDescent="0.25">
      <c r="A286" s="1" t="s">
        <v>541</v>
      </c>
      <c r="B286" s="1" t="s">
        <v>541</v>
      </c>
      <c r="C286" s="1" t="s">
        <v>154</v>
      </c>
      <c r="D286" s="1"/>
      <c r="E286" s="4">
        <v>5</v>
      </c>
      <c r="F286" s="4">
        <v>5</v>
      </c>
      <c r="G286" s="5">
        <v>10.06</v>
      </c>
      <c r="H286" s="2">
        <f>+cvg[[#This Row],[UP€]]*cvg[[#This Row],[FINAL QTY]]</f>
        <v>50.300000000000004</v>
      </c>
    </row>
    <row r="287" spans="1:8" x14ac:dyDescent="0.25">
      <c r="A287" s="1" t="s">
        <v>542</v>
      </c>
      <c r="B287" s="1" t="s">
        <v>542</v>
      </c>
      <c r="C287" s="1" t="s">
        <v>145</v>
      </c>
      <c r="D287" s="1"/>
      <c r="E287" s="4">
        <v>10</v>
      </c>
      <c r="F287" s="4">
        <v>10</v>
      </c>
      <c r="G287" s="5">
        <v>7.84</v>
      </c>
      <c r="H287" s="2">
        <f>+cvg[[#This Row],[UP€]]*cvg[[#This Row],[FINAL QTY]]</f>
        <v>78.400000000000006</v>
      </c>
    </row>
    <row r="288" spans="1:8" x14ac:dyDescent="0.25">
      <c r="A288" s="1" t="s">
        <v>543</v>
      </c>
      <c r="B288" s="1" t="s">
        <v>543</v>
      </c>
      <c r="C288" s="1" t="s">
        <v>15</v>
      </c>
      <c r="D288" s="1"/>
      <c r="E288" s="4">
        <v>3</v>
      </c>
      <c r="F288" s="4">
        <v>3</v>
      </c>
      <c r="G288" s="5">
        <v>20.76</v>
      </c>
      <c r="H288" s="2">
        <f>+cvg[[#This Row],[UP€]]*cvg[[#This Row],[FINAL QTY]]</f>
        <v>62.28</v>
      </c>
    </row>
    <row r="289" spans="1:8" x14ac:dyDescent="0.25">
      <c r="A289" s="1" t="s">
        <v>544</v>
      </c>
      <c r="B289" s="1" t="s">
        <v>544</v>
      </c>
      <c r="C289" s="1" t="s">
        <v>191</v>
      </c>
      <c r="D289" s="1"/>
      <c r="E289" s="4">
        <v>2</v>
      </c>
      <c r="F289" s="4">
        <v>2</v>
      </c>
      <c r="G289" s="5">
        <v>18.34</v>
      </c>
      <c r="H289" s="2">
        <f>+cvg[[#This Row],[UP€]]*cvg[[#This Row],[FINAL QTY]]</f>
        <v>36.68</v>
      </c>
    </row>
    <row r="290" spans="1:8" x14ac:dyDescent="0.25">
      <c r="A290" s="1" t="s">
        <v>545</v>
      </c>
      <c r="B290" s="1" t="s">
        <v>545</v>
      </c>
      <c r="C290" s="1" t="s">
        <v>26</v>
      </c>
      <c r="D290" s="1"/>
      <c r="E290" s="4">
        <v>2</v>
      </c>
      <c r="F290" s="4">
        <v>2</v>
      </c>
      <c r="G290" s="5">
        <v>21.35</v>
      </c>
      <c r="H290" s="2">
        <f>+cvg[[#This Row],[UP€]]*cvg[[#This Row],[FINAL QTY]]</f>
        <v>42.7</v>
      </c>
    </row>
    <row r="291" spans="1:8" x14ac:dyDescent="0.25">
      <c r="A291" s="1" t="s">
        <v>546</v>
      </c>
      <c r="B291" s="1" t="s">
        <v>546</v>
      </c>
      <c r="C291" s="1" t="s">
        <v>35</v>
      </c>
      <c r="D291" s="1"/>
      <c r="E291" s="4">
        <v>4</v>
      </c>
      <c r="F291" s="4">
        <v>4</v>
      </c>
      <c r="G291" s="5">
        <v>30.41</v>
      </c>
      <c r="H291" s="2">
        <f>+cvg[[#This Row],[UP€]]*cvg[[#This Row],[FINAL QTY]]</f>
        <v>121.64</v>
      </c>
    </row>
    <row r="292" spans="1:8" x14ac:dyDescent="0.25">
      <c r="A292" s="1" t="s">
        <v>547</v>
      </c>
      <c r="B292" s="1" t="s">
        <v>547</v>
      </c>
      <c r="C292" s="1" t="s">
        <v>192</v>
      </c>
      <c r="D292" s="1"/>
      <c r="E292" s="4">
        <v>2</v>
      </c>
      <c r="F292" s="4">
        <v>2</v>
      </c>
      <c r="G292" s="5">
        <v>7.62</v>
      </c>
      <c r="H292" s="2">
        <f>+cvg[[#This Row],[UP€]]*cvg[[#This Row],[FINAL QTY]]</f>
        <v>15.24</v>
      </c>
    </row>
    <row r="293" spans="1:8" x14ac:dyDescent="0.25">
      <c r="A293" s="1" t="s">
        <v>548</v>
      </c>
      <c r="B293" s="1" t="s">
        <v>548</v>
      </c>
      <c r="C293" s="1" t="s">
        <v>84</v>
      </c>
      <c r="D293" s="1"/>
      <c r="E293" s="4">
        <v>2</v>
      </c>
      <c r="F293" s="4">
        <v>2</v>
      </c>
      <c r="G293" s="5">
        <v>13.82</v>
      </c>
      <c r="H293" s="2">
        <f>+cvg[[#This Row],[UP€]]*cvg[[#This Row],[FINAL QTY]]</f>
        <v>27.64</v>
      </c>
    </row>
    <row r="294" spans="1:8" x14ac:dyDescent="0.25">
      <c r="A294" s="1" t="s">
        <v>549</v>
      </c>
      <c r="B294" s="1" t="s">
        <v>549</v>
      </c>
      <c r="C294" s="1" t="s">
        <v>193</v>
      </c>
      <c r="D294" s="1"/>
      <c r="E294" s="4">
        <v>1</v>
      </c>
      <c r="F294" s="4">
        <v>1</v>
      </c>
      <c r="G294" s="5">
        <v>60.16</v>
      </c>
      <c r="H294" s="2">
        <f>+cvg[[#This Row],[UP€]]*cvg[[#This Row],[FINAL QTY]]</f>
        <v>60.16</v>
      </c>
    </row>
    <row r="295" spans="1:8" x14ac:dyDescent="0.25">
      <c r="A295" s="1" t="s">
        <v>550</v>
      </c>
      <c r="B295" s="1" t="s">
        <v>550</v>
      </c>
      <c r="C295" s="1" t="s">
        <v>193</v>
      </c>
      <c r="D295" s="1"/>
      <c r="E295" s="4">
        <v>1</v>
      </c>
      <c r="F295" s="4">
        <v>1</v>
      </c>
      <c r="G295" s="5">
        <v>60.16</v>
      </c>
      <c r="H295" s="2">
        <f>+cvg[[#This Row],[UP€]]*cvg[[#This Row],[FINAL QTY]]</f>
        <v>60.16</v>
      </c>
    </row>
    <row r="296" spans="1:8" x14ac:dyDescent="0.25">
      <c r="A296" s="1" t="s">
        <v>551</v>
      </c>
      <c r="B296" s="1" t="s">
        <v>551</v>
      </c>
      <c r="C296" s="1" t="s">
        <v>194</v>
      </c>
      <c r="D296" s="1"/>
      <c r="E296" s="4">
        <v>1</v>
      </c>
      <c r="F296" s="4">
        <v>1</v>
      </c>
      <c r="G296" s="5">
        <v>23.7</v>
      </c>
      <c r="H296" s="2">
        <f>+cvg[[#This Row],[UP€]]*cvg[[#This Row],[FINAL QTY]]</f>
        <v>23.7</v>
      </c>
    </row>
    <row r="297" spans="1:8" x14ac:dyDescent="0.25">
      <c r="A297" s="1" t="s">
        <v>552</v>
      </c>
      <c r="B297" s="1" t="s">
        <v>552</v>
      </c>
      <c r="C297" s="1" t="s">
        <v>195</v>
      </c>
      <c r="D297" s="1"/>
      <c r="E297" s="4">
        <v>1</v>
      </c>
      <c r="F297" s="4">
        <v>1</v>
      </c>
      <c r="G297" s="5">
        <v>57.13</v>
      </c>
      <c r="H297" s="2">
        <f>+cvg[[#This Row],[UP€]]*cvg[[#This Row],[FINAL QTY]]</f>
        <v>57.13</v>
      </c>
    </row>
    <row r="298" spans="1:8" x14ac:dyDescent="0.25">
      <c r="A298" s="1" t="s">
        <v>553</v>
      </c>
      <c r="B298" s="1" t="s">
        <v>553</v>
      </c>
      <c r="C298" s="1" t="s">
        <v>196</v>
      </c>
      <c r="D298" s="1"/>
      <c r="E298" s="4">
        <v>4</v>
      </c>
      <c r="F298" s="4">
        <v>4</v>
      </c>
      <c r="G298" s="5">
        <v>24.35</v>
      </c>
      <c r="H298" s="2">
        <f>+cvg[[#This Row],[UP€]]*cvg[[#This Row],[FINAL QTY]]</f>
        <v>97.4</v>
      </c>
    </row>
    <row r="299" spans="1:8" x14ac:dyDescent="0.25">
      <c r="A299" s="1" t="s">
        <v>554</v>
      </c>
      <c r="B299" s="1" t="s">
        <v>554</v>
      </c>
      <c r="C299" s="1" t="s">
        <v>15</v>
      </c>
      <c r="D299" s="1"/>
      <c r="E299" s="4">
        <v>1</v>
      </c>
      <c r="F299" s="4">
        <v>1</v>
      </c>
      <c r="G299" s="5">
        <v>32.18</v>
      </c>
      <c r="H299" s="2">
        <f>+cvg[[#This Row],[UP€]]*cvg[[#This Row],[FINAL QTY]]</f>
        <v>32.18</v>
      </c>
    </row>
    <row r="300" spans="1:8" x14ac:dyDescent="0.25">
      <c r="A300" s="1" t="s">
        <v>555</v>
      </c>
      <c r="B300" s="1" t="s">
        <v>555</v>
      </c>
      <c r="C300" s="1" t="s">
        <v>35</v>
      </c>
      <c r="D300" s="1"/>
      <c r="E300" s="4">
        <v>2</v>
      </c>
      <c r="F300" s="4">
        <v>2</v>
      </c>
      <c r="G300" s="5">
        <v>11.24</v>
      </c>
      <c r="H300" s="2">
        <f>+cvg[[#This Row],[UP€]]*cvg[[#This Row],[FINAL QTY]]</f>
        <v>22.48</v>
      </c>
    </row>
    <row r="301" spans="1:8" x14ac:dyDescent="0.25">
      <c r="A301" s="1" t="s">
        <v>556</v>
      </c>
      <c r="B301" s="1" t="s">
        <v>556</v>
      </c>
      <c r="C301" s="1" t="s">
        <v>197</v>
      </c>
      <c r="D301" s="1"/>
      <c r="E301" s="4">
        <v>1</v>
      </c>
      <c r="F301" s="4">
        <v>1</v>
      </c>
      <c r="G301" s="5">
        <v>36.44</v>
      </c>
      <c r="H301" s="2">
        <f>+cvg[[#This Row],[UP€]]*cvg[[#This Row],[FINAL QTY]]</f>
        <v>36.44</v>
      </c>
    </row>
    <row r="302" spans="1:8" x14ac:dyDescent="0.25">
      <c r="A302" s="1" t="s">
        <v>557</v>
      </c>
      <c r="B302" s="1" t="s">
        <v>557</v>
      </c>
      <c r="C302" s="1" t="s">
        <v>198</v>
      </c>
      <c r="D302" s="1"/>
      <c r="E302" s="4">
        <v>5</v>
      </c>
      <c r="F302" s="4">
        <v>5</v>
      </c>
      <c r="G302" s="5">
        <v>102.7</v>
      </c>
      <c r="H302" s="2">
        <f>+cvg[[#This Row],[UP€]]*cvg[[#This Row],[FINAL QTY]]</f>
        <v>513.5</v>
      </c>
    </row>
    <row r="303" spans="1:8" x14ac:dyDescent="0.25">
      <c r="A303" s="1" t="s">
        <v>558</v>
      </c>
      <c r="B303" s="1" t="s">
        <v>558</v>
      </c>
      <c r="C303" s="1" t="s">
        <v>199</v>
      </c>
      <c r="D303" s="1"/>
      <c r="E303" s="4">
        <v>10</v>
      </c>
      <c r="F303" s="4">
        <v>10</v>
      </c>
      <c r="G303" s="5">
        <v>10.029999999999999</v>
      </c>
      <c r="H303" s="2">
        <f>+cvg[[#This Row],[UP€]]*cvg[[#This Row],[FINAL QTY]]</f>
        <v>100.3</v>
      </c>
    </row>
    <row r="304" spans="1:8" x14ac:dyDescent="0.25">
      <c r="A304" s="1" t="s">
        <v>559</v>
      </c>
      <c r="B304" s="1" t="s">
        <v>559</v>
      </c>
      <c r="C304" s="1" t="s">
        <v>3</v>
      </c>
      <c r="D304" s="1"/>
      <c r="E304" s="4">
        <v>6</v>
      </c>
      <c r="F304" s="4">
        <v>6</v>
      </c>
      <c r="G304" s="5">
        <v>113.64</v>
      </c>
      <c r="H304" s="2">
        <f>+cvg[[#This Row],[UP€]]*cvg[[#This Row],[FINAL QTY]]</f>
        <v>681.84</v>
      </c>
    </row>
    <row r="305" spans="1:8" x14ac:dyDescent="0.25">
      <c r="A305" s="1" t="s">
        <v>560</v>
      </c>
      <c r="B305" s="1" t="s">
        <v>560</v>
      </c>
      <c r="C305" s="1" t="s">
        <v>79</v>
      </c>
      <c r="D305" s="1"/>
      <c r="E305" s="4">
        <v>2</v>
      </c>
      <c r="F305" s="4">
        <v>2</v>
      </c>
      <c r="G305" s="5">
        <v>88.62</v>
      </c>
      <c r="H305" s="2">
        <f>+cvg[[#This Row],[UP€]]*cvg[[#This Row],[FINAL QTY]]</f>
        <v>177.24</v>
      </c>
    </row>
    <row r="306" spans="1:8" x14ac:dyDescent="0.25">
      <c r="A306" s="1" t="s">
        <v>561</v>
      </c>
      <c r="B306" s="1" t="s">
        <v>561</v>
      </c>
      <c r="C306" s="1" t="s">
        <v>79</v>
      </c>
      <c r="D306" s="1"/>
      <c r="E306" s="4">
        <v>1</v>
      </c>
      <c r="F306" s="4">
        <v>1</v>
      </c>
      <c r="G306" s="5">
        <v>59.86</v>
      </c>
      <c r="H306" s="2">
        <f>+cvg[[#This Row],[UP€]]*cvg[[#This Row],[FINAL QTY]]</f>
        <v>59.86</v>
      </c>
    </row>
    <row r="307" spans="1:8" x14ac:dyDescent="0.25">
      <c r="A307" s="1" t="s">
        <v>562</v>
      </c>
      <c r="B307" s="1" t="s">
        <v>562</v>
      </c>
      <c r="C307" s="1" t="s">
        <v>145</v>
      </c>
      <c r="D307" s="1"/>
      <c r="E307" s="4">
        <v>20</v>
      </c>
      <c r="F307" s="4">
        <v>20</v>
      </c>
      <c r="G307" s="5">
        <v>8.2100000000000009</v>
      </c>
      <c r="H307" s="2">
        <f>+cvg[[#This Row],[UP€]]*cvg[[#This Row],[FINAL QTY]]</f>
        <v>164.20000000000002</v>
      </c>
    </row>
    <row r="308" spans="1:8" x14ac:dyDescent="0.25">
      <c r="A308" s="1" t="s">
        <v>563</v>
      </c>
      <c r="B308" s="1" t="s">
        <v>563</v>
      </c>
      <c r="C308" s="1" t="s">
        <v>200</v>
      </c>
      <c r="D308" s="1"/>
      <c r="E308" s="4">
        <v>1</v>
      </c>
      <c r="F308" s="4">
        <v>1</v>
      </c>
      <c r="G308" s="5">
        <v>45.12</v>
      </c>
      <c r="H308" s="2">
        <f>+cvg[[#This Row],[UP€]]*cvg[[#This Row],[FINAL QTY]]</f>
        <v>45.12</v>
      </c>
    </row>
    <row r="309" spans="1:8" x14ac:dyDescent="0.25">
      <c r="A309" s="1" t="s">
        <v>564</v>
      </c>
      <c r="B309" s="1" t="s">
        <v>564</v>
      </c>
      <c r="C309" s="1" t="s">
        <v>82</v>
      </c>
      <c r="D309" s="1"/>
      <c r="E309" s="4">
        <v>1</v>
      </c>
      <c r="F309" s="4">
        <v>1</v>
      </c>
      <c r="G309" s="5">
        <v>167.95</v>
      </c>
      <c r="H309" s="2">
        <f>+cvg[[#This Row],[UP€]]*cvg[[#This Row],[FINAL QTY]]</f>
        <v>167.95</v>
      </c>
    </row>
    <row r="310" spans="1:8" x14ac:dyDescent="0.25">
      <c r="A310" s="1" t="s">
        <v>565</v>
      </c>
      <c r="B310" s="1" t="s">
        <v>565</v>
      </c>
      <c r="C310" s="1" t="s">
        <v>201</v>
      </c>
      <c r="D310" s="1"/>
      <c r="E310" s="4">
        <v>1</v>
      </c>
      <c r="F310" s="4">
        <v>1</v>
      </c>
      <c r="G310" s="5">
        <v>584.69000000000005</v>
      </c>
      <c r="H310" s="2">
        <f>+cvg[[#This Row],[UP€]]*cvg[[#This Row],[FINAL QTY]]</f>
        <v>584.69000000000005</v>
      </c>
    </row>
    <row r="311" spans="1:8" x14ac:dyDescent="0.25">
      <c r="A311" s="1" t="s">
        <v>566</v>
      </c>
      <c r="B311" s="1" t="s">
        <v>566</v>
      </c>
      <c r="C311" s="1" t="s">
        <v>169</v>
      </c>
      <c r="D311" s="1"/>
      <c r="E311" s="4">
        <v>10</v>
      </c>
      <c r="F311" s="4">
        <v>10</v>
      </c>
      <c r="G311" s="5">
        <v>35.14</v>
      </c>
      <c r="H311" s="2">
        <f>+cvg[[#This Row],[UP€]]*cvg[[#This Row],[FINAL QTY]]</f>
        <v>351.4</v>
      </c>
    </row>
    <row r="312" spans="1:8" x14ac:dyDescent="0.25">
      <c r="A312" s="1" t="s">
        <v>567</v>
      </c>
      <c r="B312" s="1" t="s">
        <v>567</v>
      </c>
      <c r="C312" s="1" t="s">
        <v>24</v>
      </c>
      <c r="D312" s="1"/>
      <c r="E312" s="4">
        <v>4</v>
      </c>
      <c r="F312" s="4">
        <v>4</v>
      </c>
      <c r="G312" s="5">
        <v>48</v>
      </c>
      <c r="H312" s="2">
        <f>+cvg[[#This Row],[UP€]]*cvg[[#This Row],[FINAL QTY]]</f>
        <v>192</v>
      </c>
    </row>
    <row r="313" spans="1:8" x14ac:dyDescent="0.25">
      <c r="A313" s="1" t="s">
        <v>568</v>
      </c>
      <c r="B313" s="1" t="s">
        <v>568</v>
      </c>
      <c r="C313" s="1" t="s">
        <v>202</v>
      </c>
      <c r="D313" s="1"/>
      <c r="E313" s="4">
        <v>1</v>
      </c>
      <c r="F313" s="4">
        <v>1</v>
      </c>
      <c r="G313" s="5">
        <v>44.97</v>
      </c>
      <c r="H313" s="2">
        <f>+cvg[[#This Row],[UP€]]*cvg[[#This Row],[FINAL QTY]]</f>
        <v>44.97</v>
      </c>
    </row>
    <row r="314" spans="1:8" x14ac:dyDescent="0.25">
      <c r="A314" s="1" t="s">
        <v>569</v>
      </c>
      <c r="B314" s="1" t="s">
        <v>569</v>
      </c>
      <c r="C314" s="1" t="s">
        <v>203</v>
      </c>
      <c r="D314" s="1"/>
      <c r="E314" s="4">
        <v>100</v>
      </c>
      <c r="F314" s="4">
        <v>100</v>
      </c>
      <c r="G314" s="5">
        <v>14.08</v>
      </c>
      <c r="H314" s="2">
        <f>+cvg[[#This Row],[UP€]]*cvg[[#This Row],[FINAL QTY]]</f>
        <v>1408</v>
      </c>
    </row>
    <row r="315" spans="1:8" x14ac:dyDescent="0.25">
      <c r="A315" s="1" t="s">
        <v>570</v>
      </c>
      <c r="B315" s="1" t="s">
        <v>570</v>
      </c>
      <c r="C315" s="1" t="s">
        <v>167</v>
      </c>
      <c r="D315" s="1"/>
      <c r="E315" s="4">
        <v>2</v>
      </c>
      <c r="F315" s="4">
        <v>2</v>
      </c>
      <c r="G315" s="5">
        <v>37.520000000000003</v>
      </c>
      <c r="H315" s="2">
        <f>+cvg[[#This Row],[UP€]]*cvg[[#This Row],[FINAL QTY]]</f>
        <v>75.040000000000006</v>
      </c>
    </row>
    <row r="316" spans="1:8" x14ac:dyDescent="0.25">
      <c r="A316" s="1" t="s">
        <v>571</v>
      </c>
      <c r="B316" s="1" t="s">
        <v>571</v>
      </c>
      <c r="C316" s="1" t="s">
        <v>167</v>
      </c>
      <c r="D316" s="1"/>
      <c r="E316" s="4">
        <v>1</v>
      </c>
      <c r="F316" s="4">
        <v>1</v>
      </c>
      <c r="G316" s="5">
        <v>37.76</v>
      </c>
      <c r="H316" s="2">
        <f>+cvg[[#This Row],[UP€]]*cvg[[#This Row],[FINAL QTY]]</f>
        <v>37.76</v>
      </c>
    </row>
    <row r="317" spans="1:8" x14ac:dyDescent="0.25">
      <c r="A317" s="1" t="s">
        <v>572</v>
      </c>
      <c r="B317" s="1" t="s">
        <v>572</v>
      </c>
      <c r="C317" s="1" t="s">
        <v>54</v>
      </c>
      <c r="D317" s="1"/>
      <c r="E317" s="4">
        <v>4</v>
      </c>
      <c r="F317" s="4">
        <v>4</v>
      </c>
      <c r="G317" s="5">
        <v>22.94</v>
      </c>
      <c r="H317" s="2">
        <f>+cvg[[#This Row],[UP€]]*cvg[[#This Row],[FINAL QTY]]</f>
        <v>91.76</v>
      </c>
    </row>
    <row r="318" spans="1:8" x14ac:dyDescent="0.25">
      <c r="A318" s="1" t="s">
        <v>573</v>
      </c>
      <c r="B318" s="1" t="s">
        <v>573</v>
      </c>
      <c r="C318" s="1" t="s">
        <v>204</v>
      </c>
      <c r="D318" s="1"/>
      <c r="E318" s="4">
        <v>1</v>
      </c>
      <c r="F318" s="4">
        <v>1</v>
      </c>
      <c r="G318" s="5">
        <v>139.03</v>
      </c>
      <c r="H318" s="2">
        <f>+cvg[[#This Row],[UP€]]*cvg[[#This Row],[FINAL QTY]]</f>
        <v>139.03</v>
      </c>
    </row>
    <row r="319" spans="1:8" x14ac:dyDescent="0.25">
      <c r="A319" s="1" t="s">
        <v>574</v>
      </c>
      <c r="B319" s="1" t="s">
        <v>574</v>
      </c>
      <c r="C319" s="1" t="s">
        <v>204</v>
      </c>
      <c r="D319" s="1"/>
      <c r="E319" s="4">
        <v>2</v>
      </c>
      <c r="F319" s="4">
        <v>2</v>
      </c>
      <c r="G319" s="5">
        <v>139.03</v>
      </c>
      <c r="H319" s="2">
        <f>+cvg[[#This Row],[UP€]]*cvg[[#This Row],[FINAL QTY]]</f>
        <v>278.06</v>
      </c>
    </row>
    <row r="320" spans="1:8" x14ac:dyDescent="0.25">
      <c r="A320" s="1" t="s">
        <v>575</v>
      </c>
      <c r="B320" s="1" t="s">
        <v>575</v>
      </c>
      <c r="C320" s="1" t="s">
        <v>205</v>
      </c>
      <c r="D320" s="1"/>
      <c r="E320" s="4">
        <v>2</v>
      </c>
      <c r="F320" s="4">
        <v>2</v>
      </c>
      <c r="G320" s="5">
        <v>287.85000000000002</v>
      </c>
      <c r="H320" s="2">
        <f>+cvg[[#This Row],[UP€]]*cvg[[#This Row],[FINAL QTY]]</f>
        <v>575.70000000000005</v>
      </c>
    </row>
    <row r="321" spans="1:8" x14ac:dyDescent="0.25">
      <c r="A321" s="1" t="s">
        <v>576</v>
      </c>
      <c r="B321" s="1" t="s">
        <v>576</v>
      </c>
      <c r="C321" s="1" t="s">
        <v>206</v>
      </c>
      <c r="D321" s="1"/>
      <c r="E321" s="4">
        <v>5</v>
      </c>
      <c r="F321" s="4">
        <v>5</v>
      </c>
      <c r="G321" s="5">
        <v>133.63999999999999</v>
      </c>
      <c r="H321" s="2">
        <f>+cvg[[#This Row],[UP€]]*cvg[[#This Row],[FINAL QTY]]</f>
        <v>668.19999999999993</v>
      </c>
    </row>
    <row r="322" spans="1:8" x14ac:dyDescent="0.25">
      <c r="A322" s="1" t="s">
        <v>577</v>
      </c>
      <c r="B322" s="1" t="s">
        <v>577</v>
      </c>
      <c r="C322" s="1" t="s">
        <v>157</v>
      </c>
      <c r="D322" s="1"/>
      <c r="E322" s="4">
        <v>10</v>
      </c>
      <c r="F322" s="4">
        <v>10</v>
      </c>
      <c r="G322" s="5">
        <v>7.54</v>
      </c>
      <c r="H322" s="2">
        <f>+cvg[[#This Row],[UP€]]*cvg[[#This Row],[FINAL QTY]]</f>
        <v>75.400000000000006</v>
      </c>
    </row>
    <row r="323" spans="1:8" x14ac:dyDescent="0.25">
      <c r="A323" s="1" t="s">
        <v>578</v>
      </c>
      <c r="B323" s="1" t="s">
        <v>578</v>
      </c>
      <c r="C323" s="1" t="s">
        <v>207</v>
      </c>
      <c r="D323" s="1"/>
      <c r="E323" s="4">
        <v>1</v>
      </c>
      <c r="F323" s="4">
        <v>1</v>
      </c>
      <c r="G323" s="5">
        <v>158.58000000000001</v>
      </c>
      <c r="H323" s="2">
        <f>+cvg[[#This Row],[UP€]]*cvg[[#This Row],[FINAL QTY]]</f>
        <v>158.58000000000001</v>
      </c>
    </row>
    <row r="324" spans="1:8" x14ac:dyDescent="0.25">
      <c r="A324" s="1" t="s">
        <v>579</v>
      </c>
      <c r="B324" s="1" t="s">
        <v>579</v>
      </c>
      <c r="C324" s="1" t="s">
        <v>208</v>
      </c>
      <c r="D324" s="1"/>
      <c r="E324" s="4">
        <v>3</v>
      </c>
      <c r="F324" s="4">
        <v>3</v>
      </c>
      <c r="G324" s="5">
        <v>6.69</v>
      </c>
      <c r="H324" s="2">
        <f>+cvg[[#This Row],[UP€]]*cvg[[#This Row],[FINAL QTY]]</f>
        <v>20.07</v>
      </c>
    </row>
    <row r="325" spans="1:8" x14ac:dyDescent="0.25">
      <c r="A325" s="1" t="s">
        <v>691</v>
      </c>
      <c r="B325" s="3" t="s">
        <v>580</v>
      </c>
      <c r="C325" s="1" t="s">
        <v>209</v>
      </c>
      <c r="D325" s="1"/>
      <c r="E325" s="4">
        <v>2</v>
      </c>
      <c r="F325" s="4">
        <v>2</v>
      </c>
      <c r="H325" s="2"/>
    </row>
    <row r="326" spans="1:8" x14ac:dyDescent="0.25">
      <c r="A326" s="1" t="s">
        <v>581</v>
      </c>
      <c r="B326" s="1" t="s">
        <v>581</v>
      </c>
      <c r="C326" s="1" t="s">
        <v>47</v>
      </c>
      <c r="D326" s="1"/>
      <c r="E326" s="4">
        <v>2</v>
      </c>
      <c r="F326" s="4">
        <v>2</v>
      </c>
      <c r="G326" s="5">
        <v>119.12</v>
      </c>
      <c r="H326" s="2">
        <f>+cvg[[#This Row],[UP€]]*cvg[[#This Row],[FINAL QTY]]</f>
        <v>238.24</v>
      </c>
    </row>
    <row r="327" spans="1:8" x14ac:dyDescent="0.25">
      <c r="A327" s="1" t="s">
        <v>582</v>
      </c>
      <c r="B327" s="1" t="s">
        <v>582</v>
      </c>
      <c r="C327" s="1" t="s">
        <v>210</v>
      </c>
      <c r="D327" s="1"/>
      <c r="E327" s="4">
        <v>3</v>
      </c>
      <c r="F327" s="4">
        <v>3</v>
      </c>
      <c r="G327" s="5">
        <v>30.93</v>
      </c>
      <c r="H327" s="2">
        <f>+cvg[[#This Row],[UP€]]*cvg[[#This Row],[FINAL QTY]]</f>
        <v>92.789999999999992</v>
      </c>
    </row>
    <row r="328" spans="1:8" x14ac:dyDescent="0.25">
      <c r="A328" s="1" t="s">
        <v>583</v>
      </c>
      <c r="B328" s="1" t="s">
        <v>583</v>
      </c>
      <c r="C328" s="1" t="s">
        <v>211</v>
      </c>
      <c r="D328" s="1"/>
      <c r="E328" s="4">
        <v>1</v>
      </c>
      <c r="F328" s="4">
        <v>1</v>
      </c>
      <c r="G328" s="5">
        <v>22.05</v>
      </c>
      <c r="H328" s="2">
        <f>+cvg[[#This Row],[UP€]]*cvg[[#This Row],[FINAL QTY]]</f>
        <v>22.05</v>
      </c>
    </row>
    <row r="329" spans="1:8" x14ac:dyDescent="0.25">
      <c r="A329" s="1" t="s">
        <v>692</v>
      </c>
      <c r="B329" s="3" t="s">
        <v>584</v>
      </c>
      <c r="C329" s="1" t="s">
        <v>212</v>
      </c>
      <c r="D329" s="1"/>
      <c r="E329" s="4">
        <v>3</v>
      </c>
      <c r="F329" s="4">
        <v>3</v>
      </c>
      <c r="G329" s="5">
        <v>17.21</v>
      </c>
      <c r="H329" s="2">
        <f>+cvg[[#This Row],[UP€]]*cvg[[#This Row],[FINAL QTY]]</f>
        <v>51.63</v>
      </c>
    </row>
    <row r="330" spans="1:8" x14ac:dyDescent="0.25">
      <c r="A330" s="1" t="s">
        <v>585</v>
      </c>
      <c r="B330" s="1" t="s">
        <v>585</v>
      </c>
      <c r="C330" s="1" t="s">
        <v>213</v>
      </c>
      <c r="D330" s="1"/>
      <c r="E330" s="4">
        <v>1</v>
      </c>
      <c r="F330" s="4">
        <v>1</v>
      </c>
      <c r="G330" s="5">
        <v>29.32</v>
      </c>
      <c r="H330" s="2">
        <f>+cvg[[#This Row],[UP€]]*cvg[[#This Row],[FINAL QTY]]</f>
        <v>29.32</v>
      </c>
    </row>
    <row r="331" spans="1:8" x14ac:dyDescent="0.25">
      <c r="A331" s="1" t="s">
        <v>586</v>
      </c>
      <c r="B331" s="1" t="s">
        <v>586</v>
      </c>
      <c r="C331" s="1" t="s">
        <v>213</v>
      </c>
      <c r="D331" s="1"/>
      <c r="E331" s="4">
        <v>1</v>
      </c>
      <c r="F331" s="4">
        <v>1</v>
      </c>
      <c r="G331" s="5">
        <v>29.32</v>
      </c>
      <c r="H331" s="2">
        <f>+cvg[[#This Row],[UP€]]*cvg[[#This Row],[FINAL QTY]]</f>
        <v>29.32</v>
      </c>
    </row>
    <row r="332" spans="1:8" x14ac:dyDescent="0.25">
      <c r="A332" s="1" t="s">
        <v>587</v>
      </c>
      <c r="B332" s="1" t="s">
        <v>587</v>
      </c>
      <c r="C332" s="1" t="s">
        <v>214</v>
      </c>
      <c r="D332" s="1"/>
      <c r="E332" s="4">
        <v>2</v>
      </c>
      <c r="F332" s="4">
        <v>2</v>
      </c>
      <c r="G332" s="5">
        <v>33.07</v>
      </c>
      <c r="H332" s="2">
        <f>+cvg[[#This Row],[UP€]]*cvg[[#This Row],[FINAL QTY]]</f>
        <v>66.14</v>
      </c>
    </row>
    <row r="333" spans="1:8" x14ac:dyDescent="0.25">
      <c r="A333" s="1" t="s">
        <v>588</v>
      </c>
      <c r="B333" s="1" t="s">
        <v>588</v>
      </c>
      <c r="C333" s="1" t="s">
        <v>215</v>
      </c>
      <c r="D333" s="1"/>
      <c r="E333" s="4">
        <v>4</v>
      </c>
      <c r="F333" s="4">
        <v>4</v>
      </c>
      <c r="G333" s="5">
        <v>67.349999999999994</v>
      </c>
      <c r="H333" s="2">
        <f>+cvg[[#This Row],[UP€]]*cvg[[#This Row],[FINAL QTY]]</f>
        <v>269.39999999999998</v>
      </c>
    </row>
    <row r="334" spans="1:8" x14ac:dyDescent="0.25">
      <c r="A334" s="1" t="s">
        <v>589</v>
      </c>
      <c r="B334" s="1" t="s">
        <v>589</v>
      </c>
      <c r="C334" s="1" t="s">
        <v>174</v>
      </c>
      <c r="D334" s="1"/>
      <c r="E334" s="4">
        <v>1</v>
      </c>
      <c r="F334" s="4">
        <v>1</v>
      </c>
      <c r="G334" s="5">
        <v>69.680000000000007</v>
      </c>
      <c r="H334" s="2">
        <f>+cvg[[#This Row],[UP€]]*cvg[[#This Row],[FINAL QTY]]</f>
        <v>69.680000000000007</v>
      </c>
    </row>
    <row r="335" spans="1:8" x14ac:dyDescent="0.25">
      <c r="A335" s="1" t="s">
        <v>590</v>
      </c>
      <c r="B335" s="1" t="s">
        <v>590</v>
      </c>
      <c r="C335" s="1" t="s">
        <v>90</v>
      </c>
      <c r="D335" s="1"/>
      <c r="E335" s="4">
        <v>2</v>
      </c>
      <c r="F335" s="4">
        <v>2</v>
      </c>
      <c r="G335" s="5">
        <v>52.27</v>
      </c>
      <c r="H335" s="2">
        <f>+cvg[[#This Row],[UP€]]*cvg[[#This Row],[FINAL QTY]]</f>
        <v>104.54</v>
      </c>
    </row>
    <row r="336" spans="1:8" x14ac:dyDescent="0.25">
      <c r="A336" s="1" t="s">
        <v>591</v>
      </c>
      <c r="B336" s="1" t="s">
        <v>591</v>
      </c>
      <c r="C336" s="1" t="s">
        <v>216</v>
      </c>
      <c r="D336" s="1"/>
      <c r="E336" s="4">
        <v>1</v>
      </c>
      <c r="F336" s="4">
        <v>1</v>
      </c>
      <c r="G336" s="5">
        <v>17.5</v>
      </c>
      <c r="H336" s="2">
        <f>+cvg[[#This Row],[UP€]]*cvg[[#This Row],[FINAL QTY]]</f>
        <v>17.5</v>
      </c>
    </row>
    <row r="337" spans="1:8" x14ac:dyDescent="0.25">
      <c r="A337" s="1" t="s">
        <v>592</v>
      </c>
      <c r="B337" s="1" t="s">
        <v>592</v>
      </c>
      <c r="C337" s="1" t="s">
        <v>172</v>
      </c>
      <c r="D337" s="1"/>
      <c r="E337" s="4">
        <v>1</v>
      </c>
      <c r="F337" s="4">
        <v>1</v>
      </c>
      <c r="G337" s="5">
        <v>158.47</v>
      </c>
      <c r="H337" s="2">
        <f>+cvg[[#This Row],[UP€]]*cvg[[#This Row],[FINAL QTY]]</f>
        <v>158.47</v>
      </c>
    </row>
    <row r="338" spans="1:8" x14ac:dyDescent="0.25">
      <c r="A338" s="1" t="s">
        <v>593</v>
      </c>
      <c r="B338" s="1" t="s">
        <v>593</v>
      </c>
      <c r="C338" s="1" t="s">
        <v>217</v>
      </c>
      <c r="D338" s="1"/>
      <c r="E338" s="4">
        <v>2</v>
      </c>
      <c r="F338" s="4">
        <v>2</v>
      </c>
      <c r="G338" s="5">
        <v>22.58</v>
      </c>
      <c r="H338" s="2">
        <f>+cvg[[#This Row],[UP€]]*cvg[[#This Row],[FINAL QTY]]</f>
        <v>45.16</v>
      </c>
    </row>
    <row r="339" spans="1:8" x14ac:dyDescent="0.25">
      <c r="A339" s="1" t="s">
        <v>594</v>
      </c>
      <c r="B339" s="1" t="s">
        <v>594</v>
      </c>
      <c r="C339" s="1" t="s">
        <v>218</v>
      </c>
      <c r="D339" s="1"/>
      <c r="E339" s="4">
        <v>3</v>
      </c>
      <c r="F339" s="4">
        <v>3</v>
      </c>
      <c r="G339" s="5">
        <v>58.16</v>
      </c>
      <c r="H339" s="2">
        <f>+cvg[[#This Row],[UP€]]*cvg[[#This Row],[FINAL QTY]]</f>
        <v>174.48</v>
      </c>
    </row>
    <row r="340" spans="1:8" x14ac:dyDescent="0.25">
      <c r="A340" s="1" t="s">
        <v>595</v>
      </c>
      <c r="B340" s="1" t="s">
        <v>595</v>
      </c>
      <c r="C340" s="1" t="s">
        <v>200</v>
      </c>
      <c r="D340" s="1"/>
      <c r="E340" s="4">
        <v>1</v>
      </c>
      <c r="F340" s="4">
        <v>1</v>
      </c>
      <c r="G340" s="5">
        <v>47.65</v>
      </c>
      <c r="H340" s="2">
        <f>+cvg[[#This Row],[UP€]]*cvg[[#This Row],[FINAL QTY]]</f>
        <v>47.65</v>
      </c>
    </row>
    <row r="341" spans="1:8" x14ac:dyDescent="0.25">
      <c r="A341" s="1" t="s">
        <v>596</v>
      </c>
      <c r="B341" s="1" t="s">
        <v>596</v>
      </c>
      <c r="C341" s="1" t="s">
        <v>219</v>
      </c>
      <c r="D341" s="1"/>
      <c r="E341" s="4">
        <v>1</v>
      </c>
      <c r="F341" s="4">
        <v>1</v>
      </c>
      <c r="G341" s="5">
        <v>452.77</v>
      </c>
      <c r="H341" s="2">
        <f>+cvg[[#This Row],[UP€]]*cvg[[#This Row],[FINAL QTY]]</f>
        <v>452.77</v>
      </c>
    </row>
    <row r="342" spans="1:8" x14ac:dyDescent="0.25">
      <c r="A342" s="1" t="s">
        <v>597</v>
      </c>
      <c r="B342" s="1" t="s">
        <v>597</v>
      </c>
      <c r="C342" s="1" t="s">
        <v>220</v>
      </c>
      <c r="D342" s="1"/>
      <c r="E342" s="4">
        <v>1</v>
      </c>
      <c r="F342" s="4">
        <v>1</v>
      </c>
      <c r="G342" s="5">
        <v>22.72</v>
      </c>
      <c r="H342" s="2">
        <f>+cvg[[#This Row],[UP€]]*cvg[[#This Row],[FINAL QTY]]</f>
        <v>22.72</v>
      </c>
    </row>
    <row r="343" spans="1:8" x14ac:dyDescent="0.25">
      <c r="A343" s="1" t="s">
        <v>598</v>
      </c>
      <c r="B343" s="1" t="s">
        <v>598</v>
      </c>
      <c r="C343" s="1" t="s">
        <v>221</v>
      </c>
      <c r="D343" s="1"/>
      <c r="E343" s="4">
        <v>2</v>
      </c>
      <c r="F343" s="4">
        <v>2</v>
      </c>
      <c r="G343" s="5">
        <v>24.31</v>
      </c>
      <c r="H343" s="2">
        <f>+cvg[[#This Row],[UP€]]*cvg[[#This Row],[FINAL QTY]]</f>
        <v>48.62</v>
      </c>
    </row>
    <row r="344" spans="1:8" x14ac:dyDescent="0.25">
      <c r="A344" s="1" t="s">
        <v>599</v>
      </c>
      <c r="B344" s="1" t="s">
        <v>599</v>
      </c>
      <c r="C344" s="1" t="s">
        <v>222</v>
      </c>
      <c r="D344" s="1"/>
      <c r="E344" s="4">
        <v>1</v>
      </c>
      <c r="F344" s="4">
        <v>1</v>
      </c>
      <c r="G344" s="5">
        <v>128.53</v>
      </c>
      <c r="H344" s="2">
        <f>+cvg[[#This Row],[UP€]]*cvg[[#This Row],[FINAL QTY]]</f>
        <v>128.53</v>
      </c>
    </row>
    <row r="345" spans="1:8" x14ac:dyDescent="0.25">
      <c r="A345" s="1" t="s">
        <v>600</v>
      </c>
      <c r="B345" s="1" t="s">
        <v>600</v>
      </c>
      <c r="C345" s="1" t="s">
        <v>41</v>
      </c>
      <c r="D345" s="1"/>
      <c r="E345" s="4">
        <v>1</v>
      </c>
      <c r="F345" s="4">
        <v>1</v>
      </c>
      <c r="G345" s="5">
        <v>64.62</v>
      </c>
      <c r="H345" s="2">
        <f>+cvg[[#This Row],[UP€]]*cvg[[#This Row],[FINAL QTY]]</f>
        <v>64.62</v>
      </c>
    </row>
    <row r="346" spans="1:8" x14ac:dyDescent="0.25">
      <c r="A346" s="1" t="s">
        <v>601</v>
      </c>
      <c r="B346" s="1" t="s">
        <v>601</v>
      </c>
      <c r="C346" s="1" t="s">
        <v>223</v>
      </c>
      <c r="D346" s="1"/>
      <c r="E346" s="4">
        <v>2</v>
      </c>
      <c r="F346" s="4">
        <v>2</v>
      </c>
      <c r="G346" s="5">
        <v>10.44</v>
      </c>
      <c r="H346" s="2">
        <f>+cvg[[#This Row],[UP€]]*cvg[[#This Row],[FINAL QTY]]</f>
        <v>20.88</v>
      </c>
    </row>
    <row r="347" spans="1:8" x14ac:dyDescent="0.25">
      <c r="A347" s="1" t="s">
        <v>602</v>
      </c>
      <c r="B347" s="1" t="s">
        <v>602</v>
      </c>
      <c r="C347" s="1" t="s">
        <v>224</v>
      </c>
      <c r="D347" s="1"/>
      <c r="E347" s="4">
        <v>2</v>
      </c>
      <c r="F347" s="4">
        <v>2</v>
      </c>
      <c r="G347" s="5">
        <v>11.58</v>
      </c>
      <c r="H347" s="2">
        <f>+cvg[[#This Row],[UP€]]*cvg[[#This Row],[FINAL QTY]]</f>
        <v>23.16</v>
      </c>
    </row>
    <row r="348" spans="1:8" x14ac:dyDescent="0.25">
      <c r="A348" s="1" t="s">
        <v>603</v>
      </c>
      <c r="B348" s="1" t="s">
        <v>603</v>
      </c>
      <c r="C348" s="1" t="s">
        <v>121</v>
      </c>
      <c r="D348" s="1"/>
      <c r="E348" s="4">
        <v>1</v>
      </c>
      <c r="F348" s="4">
        <v>1</v>
      </c>
      <c r="G348" s="5">
        <v>101.14</v>
      </c>
      <c r="H348" s="2">
        <f>+cvg[[#This Row],[UP€]]*cvg[[#This Row],[FINAL QTY]]</f>
        <v>101.14</v>
      </c>
    </row>
    <row r="349" spans="1:8" x14ac:dyDescent="0.25">
      <c r="A349" s="1" t="s">
        <v>604</v>
      </c>
      <c r="B349" s="1" t="s">
        <v>604</v>
      </c>
      <c r="C349" s="1" t="s">
        <v>225</v>
      </c>
      <c r="D349" s="1"/>
      <c r="E349" s="4">
        <v>1</v>
      </c>
      <c r="F349" s="4">
        <v>1</v>
      </c>
      <c r="G349" s="5">
        <v>73.59</v>
      </c>
      <c r="H349" s="2">
        <f>+cvg[[#This Row],[UP€]]*cvg[[#This Row],[FINAL QTY]]</f>
        <v>73.59</v>
      </c>
    </row>
    <row r="350" spans="1:8" x14ac:dyDescent="0.25">
      <c r="A350" s="1" t="s">
        <v>605</v>
      </c>
      <c r="B350" s="1" t="s">
        <v>605</v>
      </c>
      <c r="C350" s="1" t="s">
        <v>133</v>
      </c>
      <c r="D350" s="1"/>
      <c r="E350" s="4">
        <v>2</v>
      </c>
      <c r="F350" s="4">
        <v>2</v>
      </c>
      <c r="G350" s="5">
        <v>21.31</v>
      </c>
      <c r="H350" s="2">
        <f>+cvg[[#This Row],[UP€]]*cvg[[#This Row],[FINAL QTY]]</f>
        <v>42.62</v>
      </c>
    </row>
    <row r="351" spans="1:8" x14ac:dyDescent="0.25">
      <c r="A351" s="1" t="s">
        <v>606</v>
      </c>
      <c r="B351" s="1" t="s">
        <v>606</v>
      </c>
      <c r="C351" s="1" t="s">
        <v>226</v>
      </c>
      <c r="D351" s="1"/>
      <c r="E351" s="4">
        <v>3</v>
      </c>
      <c r="F351" s="4">
        <v>3</v>
      </c>
      <c r="G351" s="5">
        <v>149.56</v>
      </c>
      <c r="H351" s="2">
        <f>+cvg[[#This Row],[UP€]]*cvg[[#This Row],[FINAL QTY]]</f>
        <v>448.68</v>
      </c>
    </row>
    <row r="352" spans="1:8" x14ac:dyDescent="0.25">
      <c r="A352" s="1" t="s">
        <v>607</v>
      </c>
      <c r="B352" s="1" t="s">
        <v>607</v>
      </c>
      <c r="C352" s="1" t="s">
        <v>226</v>
      </c>
      <c r="D352" s="1"/>
      <c r="E352" s="4">
        <v>3</v>
      </c>
      <c r="F352" s="4">
        <v>3</v>
      </c>
      <c r="G352" s="5">
        <v>149.56</v>
      </c>
      <c r="H352" s="2">
        <f>+cvg[[#This Row],[UP€]]*cvg[[#This Row],[FINAL QTY]]</f>
        <v>448.68</v>
      </c>
    </row>
    <row r="353" spans="1:8" x14ac:dyDescent="0.25">
      <c r="A353" s="1" t="s">
        <v>608</v>
      </c>
      <c r="B353" s="1" t="s">
        <v>608</v>
      </c>
      <c r="C353" s="1" t="s">
        <v>22</v>
      </c>
      <c r="D353" s="1"/>
      <c r="E353" s="4">
        <v>2</v>
      </c>
      <c r="F353" s="4">
        <v>2</v>
      </c>
      <c r="G353" s="5">
        <v>11.96</v>
      </c>
      <c r="H353" s="2">
        <f>+cvg[[#This Row],[UP€]]*cvg[[#This Row],[FINAL QTY]]</f>
        <v>23.92</v>
      </c>
    </row>
    <row r="354" spans="1:8" x14ac:dyDescent="0.25">
      <c r="A354" s="1" t="s">
        <v>609</v>
      </c>
      <c r="B354" s="1" t="s">
        <v>609</v>
      </c>
      <c r="C354" s="1" t="s">
        <v>23</v>
      </c>
      <c r="D354" s="1"/>
      <c r="E354" s="4">
        <v>1</v>
      </c>
      <c r="F354" s="4">
        <v>1</v>
      </c>
      <c r="G354" s="5">
        <v>9.0500000000000007</v>
      </c>
      <c r="H354" s="2">
        <f>+cvg[[#This Row],[UP€]]*cvg[[#This Row],[FINAL QTY]]</f>
        <v>9.0500000000000007</v>
      </c>
    </row>
    <row r="355" spans="1:8" x14ac:dyDescent="0.25">
      <c r="A355" s="1" t="s">
        <v>610</v>
      </c>
      <c r="B355" s="1" t="s">
        <v>610</v>
      </c>
      <c r="C355" s="1" t="s">
        <v>194</v>
      </c>
      <c r="D355" s="1"/>
      <c r="E355" s="4">
        <v>2</v>
      </c>
      <c r="F355" s="4">
        <v>2</v>
      </c>
      <c r="G355" s="5">
        <v>52.19</v>
      </c>
      <c r="H355" s="2">
        <f>+cvg[[#This Row],[UP€]]*cvg[[#This Row],[FINAL QTY]]</f>
        <v>104.38</v>
      </c>
    </row>
    <row r="356" spans="1:8" x14ac:dyDescent="0.25">
      <c r="A356" s="1" t="s">
        <v>611</v>
      </c>
      <c r="B356" s="1" t="s">
        <v>611</v>
      </c>
      <c r="C356" s="1" t="s">
        <v>227</v>
      </c>
      <c r="D356" s="1"/>
      <c r="E356" s="4">
        <v>2</v>
      </c>
      <c r="F356" s="4">
        <v>2</v>
      </c>
      <c r="G356" s="5">
        <v>121.12</v>
      </c>
      <c r="H356" s="2">
        <f>+cvg[[#This Row],[UP€]]*cvg[[#This Row],[FINAL QTY]]</f>
        <v>242.24</v>
      </c>
    </row>
    <row r="357" spans="1:8" x14ac:dyDescent="0.25">
      <c r="A357" s="1" t="s">
        <v>612</v>
      </c>
      <c r="B357" s="1" t="s">
        <v>612</v>
      </c>
      <c r="C357" s="1" t="s">
        <v>228</v>
      </c>
      <c r="D357" s="1"/>
      <c r="E357" s="4">
        <v>2</v>
      </c>
      <c r="F357" s="4">
        <v>2</v>
      </c>
      <c r="G357" s="5">
        <v>317.14999999999998</v>
      </c>
      <c r="H357" s="2">
        <f>+cvg[[#This Row],[UP€]]*cvg[[#This Row],[FINAL QTY]]</f>
        <v>634.29999999999995</v>
      </c>
    </row>
    <row r="358" spans="1:8" x14ac:dyDescent="0.25">
      <c r="A358" s="1" t="s">
        <v>613</v>
      </c>
      <c r="B358" s="1" t="s">
        <v>613</v>
      </c>
      <c r="C358" s="1" t="s">
        <v>79</v>
      </c>
      <c r="D358" s="1"/>
      <c r="E358" s="4">
        <v>1</v>
      </c>
      <c r="F358" s="4">
        <v>1</v>
      </c>
      <c r="G358" s="5">
        <v>64.58</v>
      </c>
      <c r="H358" s="2">
        <f>+cvg[[#This Row],[UP€]]*cvg[[#This Row],[FINAL QTY]]</f>
        <v>64.58</v>
      </c>
    </row>
    <row r="359" spans="1:8" x14ac:dyDescent="0.25">
      <c r="A359" s="1" t="s">
        <v>614</v>
      </c>
      <c r="B359" s="1" t="s">
        <v>614</v>
      </c>
      <c r="C359" s="1" t="s">
        <v>229</v>
      </c>
      <c r="D359" s="1"/>
      <c r="E359" s="4">
        <v>1</v>
      </c>
      <c r="F359" s="4">
        <v>1</v>
      </c>
      <c r="G359" s="5">
        <v>320.68</v>
      </c>
      <c r="H359" s="2">
        <f>+cvg[[#This Row],[UP€]]*cvg[[#This Row],[FINAL QTY]]</f>
        <v>320.68</v>
      </c>
    </row>
    <row r="360" spans="1:8" x14ac:dyDescent="0.25">
      <c r="A360" s="1" t="s">
        <v>615</v>
      </c>
      <c r="B360" s="1" t="s">
        <v>615</v>
      </c>
      <c r="C360" s="1" t="s">
        <v>230</v>
      </c>
      <c r="D360" s="1"/>
      <c r="E360" s="4">
        <v>1</v>
      </c>
      <c r="F360" s="4">
        <v>1</v>
      </c>
      <c r="G360" s="5">
        <v>47.08</v>
      </c>
      <c r="H360" s="2">
        <f>+cvg[[#This Row],[UP€]]*cvg[[#This Row],[FINAL QTY]]</f>
        <v>47.08</v>
      </c>
    </row>
    <row r="361" spans="1:8" x14ac:dyDescent="0.25">
      <c r="A361" s="1" t="s">
        <v>616</v>
      </c>
      <c r="B361" s="1" t="s">
        <v>616</v>
      </c>
      <c r="C361" s="1" t="s">
        <v>230</v>
      </c>
      <c r="D361" s="1"/>
      <c r="E361" s="4">
        <v>1</v>
      </c>
      <c r="F361" s="4">
        <v>1</v>
      </c>
      <c r="G361" s="5">
        <v>47.08</v>
      </c>
      <c r="H361" s="2">
        <f>+cvg[[#This Row],[UP€]]*cvg[[#This Row],[FINAL QTY]]</f>
        <v>47.08</v>
      </c>
    </row>
    <row r="362" spans="1:8" x14ac:dyDescent="0.25">
      <c r="A362" s="1" t="s">
        <v>617</v>
      </c>
      <c r="B362" s="1" t="s">
        <v>617</v>
      </c>
      <c r="C362" s="1" t="s">
        <v>201</v>
      </c>
      <c r="D362" s="1"/>
      <c r="E362" s="4">
        <v>2</v>
      </c>
      <c r="F362" s="4">
        <v>2</v>
      </c>
      <c r="G362" s="5">
        <v>406.21</v>
      </c>
      <c r="H362" s="2">
        <f>+cvg[[#This Row],[UP€]]*cvg[[#This Row],[FINAL QTY]]</f>
        <v>812.42</v>
      </c>
    </row>
    <row r="363" spans="1:8" x14ac:dyDescent="0.25">
      <c r="A363" s="1" t="s">
        <v>618</v>
      </c>
      <c r="B363" s="1" t="s">
        <v>618</v>
      </c>
      <c r="C363" s="1" t="s">
        <v>201</v>
      </c>
      <c r="D363" s="1"/>
      <c r="E363" s="4">
        <v>1</v>
      </c>
      <c r="F363" s="4">
        <v>1</v>
      </c>
      <c r="G363" s="5">
        <v>406.21</v>
      </c>
      <c r="H363" s="2">
        <f>+cvg[[#This Row],[UP€]]*cvg[[#This Row],[FINAL QTY]]</f>
        <v>406.21</v>
      </c>
    </row>
    <row r="364" spans="1:8" x14ac:dyDescent="0.25">
      <c r="A364" s="1" t="s">
        <v>619</v>
      </c>
      <c r="B364" s="1" t="s">
        <v>619</v>
      </c>
      <c r="C364" s="1" t="s">
        <v>231</v>
      </c>
      <c r="D364" s="1"/>
      <c r="E364" s="4">
        <v>1</v>
      </c>
      <c r="F364" s="4">
        <v>1</v>
      </c>
      <c r="G364" s="5">
        <v>406.21</v>
      </c>
      <c r="H364" s="2">
        <f>+cvg[[#This Row],[UP€]]*cvg[[#This Row],[FINAL QTY]]</f>
        <v>406.21</v>
      </c>
    </row>
    <row r="365" spans="1:8" x14ac:dyDescent="0.25">
      <c r="A365" s="1" t="s">
        <v>620</v>
      </c>
      <c r="B365" s="1" t="s">
        <v>620</v>
      </c>
      <c r="C365" s="1" t="s">
        <v>232</v>
      </c>
      <c r="D365" s="1"/>
      <c r="E365" s="4">
        <v>2</v>
      </c>
      <c r="F365" s="4">
        <v>2</v>
      </c>
      <c r="G365" s="5">
        <v>27.13</v>
      </c>
      <c r="H365" s="2">
        <f>+cvg[[#This Row],[UP€]]*cvg[[#This Row],[FINAL QTY]]</f>
        <v>54.26</v>
      </c>
    </row>
    <row r="366" spans="1:8" x14ac:dyDescent="0.25">
      <c r="A366" s="1" t="s">
        <v>621</v>
      </c>
      <c r="B366" s="1" t="s">
        <v>621</v>
      </c>
      <c r="C366" s="1" t="s">
        <v>233</v>
      </c>
      <c r="D366" s="1"/>
      <c r="E366" s="4">
        <v>4</v>
      </c>
      <c r="F366" s="4">
        <v>4</v>
      </c>
      <c r="G366" s="5">
        <v>24.79</v>
      </c>
      <c r="H366" s="2">
        <f>+cvg[[#This Row],[UP€]]*cvg[[#This Row],[FINAL QTY]]</f>
        <v>99.16</v>
      </c>
    </row>
    <row r="367" spans="1:8" x14ac:dyDescent="0.25">
      <c r="A367" s="1" t="s">
        <v>622</v>
      </c>
      <c r="B367" s="1" t="s">
        <v>622</v>
      </c>
      <c r="C367" s="1" t="s">
        <v>234</v>
      </c>
      <c r="D367" s="1"/>
      <c r="E367" s="4">
        <v>1</v>
      </c>
      <c r="F367" s="4">
        <v>1</v>
      </c>
      <c r="G367" s="5">
        <v>741.48</v>
      </c>
      <c r="H367" s="2">
        <f>+cvg[[#This Row],[UP€]]*cvg[[#This Row],[FINAL QTY]]</f>
        <v>741.48</v>
      </c>
    </row>
    <row r="368" spans="1:8" x14ac:dyDescent="0.25">
      <c r="A368" s="1" t="s">
        <v>623</v>
      </c>
      <c r="B368" s="1" t="s">
        <v>623</v>
      </c>
      <c r="C368" s="1" t="s">
        <v>235</v>
      </c>
      <c r="D368" s="1"/>
      <c r="E368" s="4">
        <v>2</v>
      </c>
      <c r="F368" s="4">
        <v>2</v>
      </c>
      <c r="G368" s="5">
        <v>38.24</v>
      </c>
      <c r="H368" s="2">
        <f>+cvg[[#This Row],[UP€]]*cvg[[#This Row],[FINAL QTY]]</f>
        <v>76.48</v>
      </c>
    </row>
    <row r="369" spans="1:8" x14ac:dyDescent="0.25">
      <c r="A369" s="1" t="s">
        <v>624</v>
      </c>
      <c r="B369" s="1" t="s">
        <v>624</v>
      </c>
      <c r="C369" s="1" t="s">
        <v>228</v>
      </c>
      <c r="D369" s="1"/>
      <c r="E369" s="4">
        <v>1</v>
      </c>
      <c r="F369" s="4">
        <v>1</v>
      </c>
      <c r="G369" s="5">
        <v>294.19</v>
      </c>
      <c r="H369" s="2">
        <f>+cvg[[#This Row],[UP€]]*cvg[[#This Row],[FINAL QTY]]</f>
        <v>294.19</v>
      </c>
    </row>
    <row r="370" spans="1:8" x14ac:dyDescent="0.25">
      <c r="A370" s="1" t="s">
        <v>625</v>
      </c>
      <c r="B370" s="1" t="s">
        <v>625</v>
      </c>
      <c r="C370" s="1" t="s">
        <v>236</v>
      </c>
      <c r="D370" s="1"/>
      <c r="E370" s="4">
        <v>3</v>
      </c>
      <c r="F370" s="4">
        <v>3</v>
      </c>
      <c r="G370" s="5">
        <v>141.9</v>
      </c>
      <c r="H370" s="2">
        <f>+cvg[[#This Row],[UP€]]*cvg[[#This Row],[FINAL QTY]]</f>
        <v>425.70000000000005</v>
      </c>
    </row>
    <row r="371" spans="1:8" x14ac:dyDescent="0.25">
      <c r="A371" s="1" t="s">
        <v>626</v>
      </c>
      <c r="B371" s="1" t="s">
        <v>626</v>
      </c>
      <c r="C371" s="1" t="s">
        <v>32</v>
      </c>
      <c r="D371" s="1"/>
      <c r="E371" s="4">
        <v>3</v>
      </c>
      <c r="F371" s="4">
        <v>3</v>
      </c>
      <c r="G371" s="5">
        <v>47.32</v>
      </c>
      <c r="H371" s="2">
        <f>+cvg[[#This Row],[UP€]]*cvg[[#This Row],[FINAL QTY]]</f>
        <v>141.96</v>
      </c>
    </row>
    <row r="372" spans="1:8" x14ac:dyDescent="0.25">
      <c r="A372" s="1" t="s">
        <v>627</v>
      </c>
      <c r="B372" s="1" t="s">
        <v>627</v>
      </c>
      <c r="C372" s="1" t="s">
        <v>183</v>
      </c>
      <c r="D372" s="1"/>
      <c r="E372" s="4">
        <v>1</v>
      </c>
      <c r="F372" s="4">
        <v>1</v>
      </c>
      <c r="G372" s="5">
        <v>33.53</v>
      </c>
      <c r="H372" s="2">
        <f>+cvg[[#This Row],[UP€]]*cvg[[#This Row],[FINAL QTY]]</f>
        <v>33.53</v>
      </c>
    </row>
    <row r="373" spans="1:8" x14ac:dyDescent="0.25">
      <c r="A373" s="1" t="s">
        <v>628</v>
      </c>
      <c r="B373" s="1" t="s">
        <v>628</v>
      </c>
      <c r="C373" s="1" t="s">
        <v>117</v>
      </c>
      <c r="D373" s="1"/>
      <c r="E373" s="4">
        <v>200</v>
      </c>
      <c r="F373" s="4">
        <v>200</v>
      </c>
      <c r="G373" s="5">
        <v>7.76</v>
      </c>
      <c r="H373" s="2">
        <f>+cvg[[#This Row],[UP€]]*cvg[[#This Row],[FINAL QTY]]</f>
        <v>1552</v>
      </c>
    </row>
    <row r="374" spans="1:8" x14ac:dyDescent="0.25">
      <c r="A374" s="1" t="s">
        <v>629</v>
      </c>
      <c r="B374" s="1" t="s">
        <v>629</v>
      </c>
      <c r="C374" s="1" t="s">
        <v>54</v>
      </c>
      <c r="D374" s="1"/>
      <c r="E374" s="4">
        <v>3</v>
      </c>
      <c r="F374" s="4">
        <v>3</v>
      </c>
      <c r="G374" s="5">
        <v>22.75</v>
      </c>
      <c r="H374" s="2">
        <f>+cvg[[#This Row],[UP€]]*cvg[[#This Row],[FINAL QTY]]</f>
        <v>68.25</v>
      </c>
    </row>
    <row r="375" spans="1:8" x14ac:dyDescent="0.25">
      <c r="A375" s="1" t="s">
        <v>630</v>
      </c>
      <c r="B375" s="1" t="s">
        <v>630</v>
      </c>
      <c r="C375" s="1" t="s">
        <v>237</v>
      </c>
      <c r="D375" s="1"/>
      <c r="E375" s="4">
        <v>3</v>
      </c>
      <c r="F375" s="4">
        <v>3</v>
      </c>
      <c r="G375" s="5">
        <v>96.84</v>
      </c>
      <c r="H375" s="2">
        <f>+cvg[[#This Row],[UP€]]*cvg[[#This Row],[FINAL QTY]]</f>
        <v>290.52</v>
      </c>
    </row>
    <row r="376" spans="1:8" x14ac:dyDescent="0.25">
      <c r="A376" s="1" t="s">
        <v>631</v>
      </c>
      <c r="B376" s="1" t="s">
        <v>631</v>
      </c>
      <c r="C376" s="1" t="s">
        <v>24</v>
      </c>
      <c r="D376" s="1"/>
      <c r="E376" s="4">
        <v>4</v>
      </c>
      <c r="F376" s="4">
        <v>4</v>
      </c>
      <c r="G376" s="5">
        <v>14.12</v>
      </c>
      <c r="H376" s="2">
        <f>+cvg[[#This Row],[UP€]]*cvg[[#This Row],[FINAL QTY]]</f>
        <v>56.48</v>
      </c>
    </row>
    <row r="377" spans="1:8" x14ac:dyDescent="0.25">
      <c r="A377" s="1" t="s">
        <v>632</v>
      </c>
      <c r="B377" s="1" t="s">
        <v>632</v>
      </c>
      <c r="C377" s="1" t="s">
        <v>204</v>
      </c>
      <c r="D377" s="1"/>
      <c r="E377" s="4">
        <v>2</v>
      </c>
      <c r="F377" s="4">
        <v>2</v>
      </c>
      <c r="G377" s="5">
        <v>107.36</v>
      </c>
      <c r="H377" s="2">
        <f>+cvg[[#This Row],[UP€]]*cvg[[#This Row],[FINAL QTY]]</f>
        <v>214.72</v>
      </c>
    </row>
    <row r="378" spans="1:8" x14ac:dyDescent="0.25">
      <c r="A378" s="1" t="s">
        <v>633</v>
      </c>
      <c r="B378" s="1" t="s">
        <v>633</v>
      </c>
      <c r="C378" s="1" t="s">
        <v>41</v>
      </c>
      <c r="D378" s="1"/>
      <c r="E378" s="4">
        <v>2</v>
      </c>
      <c r="F378" s="4">
        <v>2</v>
      </c>
      <c r="G378" s="5">
        <v>120.97</v>
      </c>
      <c r="H378" s="2">
        <f>+cvg[[#This Row],[UP€]]*cvg[[#This Row],[FINAL QTY]]</f>
        <v>241.94</v>
      </c>
    </row>
    <row r="379" spans="1:8" x14ac:dyDescent="0.25">
      <c r="A379" s="1" t="s">
        <v>634</v>
      </c>
      <c r="B379" s="1" t="s">
        <v>634</v>
      </c>
      <c r="C379" s="1" t="s">
        <v>238</v>
      </c>
      <c r="D379" s="1"/>
      <c r="E379" s="4">
        <v>10</v>
      </c>
      <c r="F379" s="4">
        <v>10</v>
      </c>
      <c r="G379" s="5">
        <v>12.79</v>
      </c>
      <c r="H379" s="2">
        <f>+cvg[[#This Row],[UP€]]*cvg[[#This Row],[FINAL QTY]]</f>
        <v>127.89999999999999</v>
      </c>
    </row>
    <row r="380" spans="1:8" x14ac:dyDescent="0.25">
      <c r="A380" s="1" t="s">
        <v>635</v>
      </c>
      <c r="B380" s="1" t="s">
        <v>635</v>
      </c>
      <c r="C380" s="1" t="s">
        <v>160</v>
      </c>
      <c r="D380" s="1"/>
      <c r="E380" s="4">
        <v>3</v>
      </c>
      <c r="F380" s="4">
        <v>3</v>
      </c>
      <c r="G380" s="5">
        <v>162.51</v>
      </c>
      <c r="H380" s="2">
        <f>+cvg[[#This Row],[UP€]]*cvg[[#This Row],[FINAL QTY]]</f>
        <v>487.53</v>
      </c>
    </row>
    <row r="381" spans="1:8" x14ac:dyDescent="0.25">
      <c r="A381" s="1" t="s">
        <v>636</v>
      </c>
      <c r="B381" s="1" t="s">
        <v>636</v>
      </c>
      <c r="C381" s="1" t="s">
        <v>239</v>
      </c>
      <c r="D381" s="1"/>
      <c r="E381" s="4">
        <v>2</v>
      </c>
      <c r="F381" s="4">
        <v>2</v>
      </c>
      <c r="G381" s="5">
        <v>119.95</v>
      </c>
      <c r="H381" s="2">
        <f>+cvg[[#This Row],[UP€]]*cvg[[#This Row],[FINAL QTY]]</f>
        <v>239.9</v>
      </c>
    </row>
    <row r="382" spans="1:8" x14ac:dyDescent="0.25">
      <c r="A382" s="1" t="s">
        <v>637</v>
      </c>
      <c r="B382" s="1" t="s">
        <v>637</v>
      </c>
      <c r="C382" s="1" t="s">
        <v>240</v>
      </c>
      <c r="D382" s="1"/>
      <c r="E382" s="4">
        <v>1</v>
      </c>
      <c r="F382" s="4">
        <v>1</v>
      </c>
      <c r="G382" s="5">
        <v>14.21</v>
      </c>
      <c r="H382" s="2">
        <f>+cvg[[#This Row],[UP€]]*cvg[[#This Row],[FINAL QTY]]</f>
        <v>14.21</v>
      </c>
    </row>
    <row r="383" spans="1:8" x14ac:dyDescent="0.25">
      <c r="A383" s="1" t="s">
        <v>638</v>
      </c>
      <c r="B383" s="1" t="s">
        <v>638</v>
      </c>
      <c r="C383" s="1" t="s">
        <v>200</v>
      </c>
      <c r="D383" s="1"/>
      <c r="E383" s="4">
        <v>1</v>
      </c>
      <c r="F383" s="4">
        <v>1</v>
      </c>
      <c r="G383" s="5">
        <v>58.05</v>
      </c>
      <c r="H383" s="2">
        <f>+cvg[[#This Row],[UP€]]*cvg[[#This Row],[FINAL QTY]]</f>
        <v>58.05</v>
      </c>
    </row>
    <row r="384" spans="1:8" x14ac:dyDescent="0.25">
      <c r="A384" s="1" t="s">
        <v>639</v>
      </c>
      <c r="B384" s="1" t="s">
        <v>639</v>
      </c>
      <c r="C384" s="1" t="s">
        <v>241</v>
      </c>
      <c r="D384" s="1"/>
      <c r="E384" s="4">
        <v>3</v>
      </c>
      <c r="F384" s="4">
        <v>3</v>
      </c>
      <c r="G384" s="5">
        <v>80.150000000000006</v>
      </c>
      <c r="H384" s="2">
        <f>+cvg[[#This Row],[UP€]]*cvg[[#This Row],[FINAL QTY]]</f>
        <v>240.45000000000002</v>
      </c>
    </row>
    <row r="385" spans="1:8" x14ac:dyDescent="0.25">
      <c r="A385" s="1" t="s">
        <v>640</v>
      </c>
      <c r="B385" s="1" t="s">
        <v>640</v>
      </c>
      <c r="C385" s="1" t="s">
        <v>71</v>
      </c>
      <c r="D385" s="1"/>
      <c r="E385" s="4">
        <v>1</v>
      </c>
      <c r="F385" s="4">
        <v>1</v>
      </c>
      <c r="G385" s="5">
        <v>42.28</v>
      </c>
      <c r="H385" s="2">
        <f>+cvg[[#This Row],[UP€]]*cvg[[#This Row],[FINAL QTY]]</f>
        <v>42.28</v>
      </c>
    </row>
    <row r="386" spans="1:8" x14ac:dyDescent="0.25">
      <c r="A386" s="1" t="s">
        <v>641</v>
      </c>
      <c r="B386" s="1" t="s">
        <v>641</v>
      </c>
      <c r="C386" s="1" t="s">
        <v>71</v>
      </c>
      <c r="D386" s="1"/>
      <c r="E386" s="4">
        <v>1</v>
      </c>
      <c r="F386" s="4">
        <v>1</v>
      </c>
      <c r="G386" s="5">
        <v>42.28</v>
      </c>
      <c r="H386" s="2">
        <f>+cvg[[#This Row],[UP€]]*cvg[[#This Row],[FINAL QTY]]</f>
        <v>42.28</v>
      </c>
    </row>
    <row r="387" spans="1:8" x14ac:dyDescent="0.25">
      <c r="A387" s="1" t="s">
        <v>642</v>
      </c>
      <c r="B387" s="1" t="s">
        <v>642</v>
      </c>
      <c r="C387" s="1" t="s">
        <v>167</v>
      </c>
      <c r="D387" s="1"/>
      <c r="E387" s="4">
        <v>1</v>
      </c>
      <c r="F387" s="4">
        <v>1</v>
      </c>
      <c r="G387" s="5">
        <v>34.46</v>
      </c>
      <c r="H387" s="2">
        <f>+cvg[[#This Row],[UP€]]*cvg[[#This Row],[FINAL QTY]]</f>
        <v>34.46</v>
      </c>
    </row>
    <row r="388" spans="1:8" x14ac:dyDescent="0.25">
      <c r="A388" s="1" t="s">
        <v>643</v>
      </c>
      <c r="B388" s="1" t="s">
        <v>643</v>
      </c>
      <c r="C388" s="1" t="s">
        <v>167</v>
      </c>
      <c r="D388" s="1"/>
      <c r="E388" s="4">
        <v>1</v>
      </c>
      <c r="F388" s="4">
        <v>1</v>
      </c>
      <c r="G388" s="5">
        <v>34.46</v>
      </c>
      <c r="H388" s="2">
        <f>+cvg[[#This Row],[UP€]]*cvg[[#This Row],[FINAL QTY]]</f>
        <v>34.46</v>
      </c>
    </row>
    <row r="389" spans="1:8" x14ac:dyDescent="0.25">
      <c r="A389" s="1" t="s">
        <v>644</v>
      </c>
      <c r="B389" s="1" t="s">
        <v>644</v>
      </c>
      <c r="C389" s="1" t="s">
        <v>79</v>
      </c>
      <c r="D389" s="1"/>
      <c r="E389" s="4">
        <v>1</v>
      </c>
      <c r="F389" s="4">
        <v>1</v>
      </c>
      <c r="G389" s="5">
        <v>108.88</v>
      </c>
      <c r="H389" s="2">
        <f>+cvg[[#This Row],[UP€]]*cvg[[#This Row],[FINAL QTY]]</f>
        <v>108.88</v>
      </c>
    </row>
    <row r="390" spans="1:8" x14ac:dyDescent="0.25">
      <c r="A390" s="1" t="s">
        <v>645</v>
      </c>
      <c r="B390" s="1" t="s">
        <v>645</v>
      </c>
      <c r="C390" s="1" t="s">
        <v>242</v>
      </c>
      <c r="D390" s="1"/>
      <c r="E390" s="4">
        <v>1</v>
      </c>
      <c r="F390" s="4">
        <v>1</v>
      </c>
      <c r="G390" s="5">
        <v>237.26</v>
      </c>
      <c r="H390" s="2">
        <f>+cvg[[#This Row],[UP€]]*cvg[[#This Row],[FINAL QTY]]</f>
        <v>237.26</v>
      </c>
    </row>
    <row r="391" spans="1:8" x14ac:dyDescent="0.25">
      <c r="A391" s="1" t="s">
        <v>646</v>
      </c>
      <c r="B391" s="1" t="s">
        <v>646</v>
      </c>
      <c r="C391" s="1" t="s">
        <v>218</v>
      </c>
      <c r="D391" s="1"/>
      <c r="E391" s="4">
        <v>1</v>
      </c>
      <c r="F391" s="4">
        <v>1</v>
      </c>
      <c r="G391" s="5">
        <v>64.03</v>
      </c>
      <c r="H391" s="2">
        <f>+cvg[[#This Row],[UP€]]*cvg[[#This Row],[FINAL QTY]]</f>
        <v>64.03</v>
      </c>
    </row>
    <row r="392" spans="1:8" x14ac:dyDescent="0.25">
      <c r="A392" s="1" t="s">
        <v>647</v>
      </c>
      <c r="B392" s="1" t="s">
        <v>647</v>
      </c>
      <c r="C392" s="1" t="s">
        <v>200</v>
      </c>
      <c r="D392" s="1"/>
      <c r="E392" s="4">
        <v>1</v>
      </c>
      <c r="F392" s="4">
        <v>1</v>
      </c>
      <c r="G392" s="5">
        <v>64.03</v>
      </c>
      <c r="H392" s="2">
        <f>+cvg[[#This Row],[UP€]]*cvg[[#This Row],[FINAL QTY]]</f>
        <v>64.03</v>
      </c>
    </row>
    <row r="393" spans="1:8" x14ac:dyDescent="0.25">
      <c r="A393" s="1" t="s">
        <v>648</v>
      </c>
      <c r="B393" s="1" t="s">
        <v>648</v>
      </c>
      <c r="C393" s="1" t="s">
        <v>200</v>
      </c>
      <c r="D393" s="1"/>
      <c r="E393" s="4">
        <v>1</v>
      </c>
      <c r="F393" s="4">
        <v>1</v>
      </c>
      <c r="G393" s="5">
        <v>64.03</v>
      </c>
      <c r="H393" s="2">
        <f>+cvg[[#This Row],[UP€]]*cvg[[#This Row],[FINAL QTY]]</f>
        <v>64.03</v>
      </c>
    </row>
    <row r="394" spans="1:8" x14ac:dyDescent="0.25">
      <c r="A394" s="1" t="s">
        <v>649</v>
      </c>
      <c r="B394" s="1" t="s">
        <v>649</v>
      </c>
      <c r="C394" s="1" t="s">
        <v>53</v>
      </c>
      <c r="D394" s="1"/>
      <c r="E394" s="4">
        <v>1</v>
      </c>
      <c r="F394" s="4">
        <v>1</v>
      </c>
      <c r="G394" s="5">
        <v>220.97</v>
      </c>
      <c r="H394" s="2">
        <f>+cvg[[#This Row],[UP€]]*cvg[[#This Row],[FINAL QTY]]</f>
        <v>220.97</v>
      </c>
    </row>
    <row r="395" spans="1:8" x14ac:dyDescent="0.25">
      <c r="A395" s="1" t="s">
        <v>650</v>
      </c>
      <c r="B395" s="1" t="s">
        <v>650</v>
      </c>
      <c r="C395" s="1" t="s">
        <v>243</v>
      </c>
      <c r="D395" s="1"/>
      <c r="E395" s="4">
        <v>1</v>
      </c>
      <c r="F395" s="4">
        <v>1</v>
      </c>
      <c r="G395" s="5">
        <v>259.47000000000003</v>
      </c>
      <c r="H395" s="2">
        <f>+cvg[[#This Row],[UP€]]*cvg[[#This Row],[FINAL QTY]]</f>
        <v>259.47000000000003</v>
      </c>
    </row>
    <row r="396" spans="1:8" x14ac:dyDescent="0.25">
      <c r="A396" s="1" t="s">
        <v>651</v>
      </c>
      <c r="B396" s="1" t="s">
        <v>651</v>
      </c>
      <c r="C396" s="1" t="s">
        <v>243</v>
      </c>
      <c r="D396" s="1"/>
      <c r="E396" s="4">
        <v>2</v>
      </c>
      <c r="F396" s="4">
        <v>2</v>
      </c>
      <c r="G396" s="5">
        <v>259.47000000000003</v>
      </c>
      <c r="H396" s="2">
        <f>+cvg[[#This Row],[UP€]]*cvg[[#This Row],[FINAL QTY]]</f>
        <v>518.94000000000005</v>
      </c>
    </row>
    <row r="397" spans="1:8" x14ac:dyDescent="0.25">
      <c r="A397" s="1" t="s">
        <v>652</v>
      </c>
      <c r="B397" s="1" t="s">
        <v>652</v>
      </c>
      <c r="C397" s="1" t="s">
        <v>244</v>
      </c>
      <c r="D397" s="1"/>
      <c r="E397" s="4">
        <v>1</v>
      </c>
      <c r="F397" s="4">
        <v>1</v>
      </c>
      <c r="G397" s="5">
        <v>46.764300000000006</v>
      </c>
      <c r="H397" s="2">
        <f>+cvg[[#This Row],[UP€]]*cvg[[#This Row],[FINAL QTY]]</f>
        <v>46.764300000000006</v>
      </c>
    </row>
    <row r="398" spans="1:8" x14ac:dyDescent="0.25">
      <c r="A398" s="1" t="s">
        <v>653</v>
      </c>
      <c r="B398" s="1" t="s">
        <v>653</v>
      </c>
      <c r="C398" s="1" t="s">
        <v>245</v>
      </c>
      <c r="D398" s="1"/>
      <c r="E398" s="4">
        <v>1</v>
      </c>
      <c r="F398" s="4">
        <v>1</v>
      </c>
      <c r="G398" s="5">
        <v>320.68</v>
      </c>
      <c r="H398" s="2">
        <f>+cvg[[#This Row],[UP€]]*cvg[[#This Row],[FINAL QTY]]</f>
        <v>320.68</v>
      </c>
    </row>
    <row r="399" spans="1:8" x14ac:dyDescent="0.25">
      <c r="A399" s="1" t="s">
        <v>654</v>
      </c>
      <c r="B399" s="1" t="s">
        <v>654</v>
      </c>
      <c r="C399" s="1" t="s">
        <v>246</v>
      </c>
      <c r="D399" s="1"/>
      <c r="E399" s="4">
        <v>2</v>
      </c>
      <c r="F399" s="4">
        <v>2</v>
      </c>
      <c r="G399" s="5">
        <v>22.98</v>
      </c>
      <c r="H399" s="2">
        <f>+cvg[[#This Row],[UP€]]*cvg[[#This Row],[FINAL QTY]]</f>
        <v>45.96</v>
      </c>
    </row>
    <row r="400" spans="1:8" x14ac:dyDescent="0.25">
      <c r="A400" s="1" t="s">
        <v>655</v>
      </c>
      <c r="B400" s="1" t="s">
        <v>655</v>
      </c>
      <c r="C400" s="1" t="s">
        <v>2</v>
      </c>
      <c r="D400" s="1"/>
      <c r="E400" s="4">
        <v>2</v>
      </c>
      <c r="F400" s="4">
        <v>2</v>
      </c>
      <c r="G400" s="5">
        <v>26.38</v>
      </c>
      <c r="H400" s="2">
        <f>+cvg[[#This Row],[UP€]]*cvg[[#This Row],[FINAL QTY]]</f>
        <v>52.76</v>
      </c>
    </row>
    <row r="401" spans="1:8" x14ac:dyDescent="0.25">
      <c r="A401" s="1" t="s">
        <v>656</v>
      </c>
      <c r="B401" s="1" t="s">
        <v>656</v>
      </c>
      <c r="C401" s="1" t="s">
        <v>246</v>
      </c>
      <c r="D401" s="1"/>
      <c r="E401" s="4">
        <v>1</v>
      </c>
      <c r="F401" s="4">
        <v>1</v>
      </c>
      <c r="G401" s="5">
        <v>37.706700000000005</v>
      </c>
      <c r="H401" s="2">
        <f>+cvg[[#This Row],[UP€]]*cvg[[#This Row],[FINAL QTY]]</f>
        <v>37.706700000000005</v>
      </c>
    </row>
    <row r="402" spans="1:8" x14ac:dyDescent="0.25">
      <c r="A402" s="1" t="s">
        <v>657</v>
      </c>
      <c r="B402" s="1" t="s">
        <v>657</v>
      </c>
      <c r="C402" s="1" t="s">
        <v>234</v>
      </c>
      <c r="D402" s="1"/>
      <c r="E402" s="4">
        <v>1</v>
      </c>
      <c r="F402" s="4">
        <v>1</v>
      </c>
      <c r="G402" s="5">
        <v>741.48</v>
      </c>
      <c r="H402" s="2">
        <f>+cvg[[#This Row],[UP€]]*cvg[[#This Row],[FINAL QTY]]</f>
        <v>741.48</v>
      </c>
    </row>
    <row r="403" spans="1:8" x14ac:dyDescent="0.25">
      <c r="A403" s="1" t="s">
        <v>658</v>
      </c>
      <c r="B403" s="1" t="s">
        <v>658</v>
      </c>
      <c r="C403" s="1" t="s">
        <v>77</v>
      </c>
      <c r="D403" s="1"/>
      <c r="E403" s="4">
        <v>2</v>
      </c>
      <c r="F403" s="4">
        <v>2</v>
      </c>
      <c r="G403" s="5">
        <v>175.82</v>
      </c>
      <c r="H403" s="2">
        <f>+cvg[[#This Row],[UP€]]*cvg[[#This Row],[FINAL QTY]]</f>
        <v>351.64</v>
      </c>
    </row>
    <row r="404" spans="1:8" x14ac:dyDescent="0.25">
      <c r="A404" s="1" t="s">
        <v>659</v>
      </c>
      <c r="B404" s="1" t="s">
        <v>659</v>
      </c>
      <c r="C404" s="1" t="s">
        <v>49</v>
      </c>
      <c r="D404" s="1"/>
      <c r="E404" s="4">
        <v>2</v>
      </c>
      <c r="F404" s="4">
        <v>2</v>
      </c>
      <c r="G404" s="5">
        <v>154.12</v>
      </c>
      <c r="H404" s="2">
        <f>+cvg[[#This Row],[UP€]]*cvg[[#This Row],[FINAL QTY]]</f>
        <v>308.24</v>
      </c>
    </row>
    <row r="405" spans="1:8" x14ac:dyDescent="0.25">
      <c r="A405" s="1" t="s">
        <v>660</v>
      </c>
      <c r="B405" s="1" t="s">
        <v>660</v>
      </c>
      <c r="C405" s="1" t="s">
        <v>247</v>
      </c>
      <c r="D405" s="1"/>
      <c r="E405" s="4">
        <v>1</v>
      </c>
      <c r="F405" s="4">
        <v>1</v>
      </c>
      <c r="G405" s="5">
        <v>26.4069</v>
      </c>
      <c r="H405" s="2">
        <f>+cvg[[#This Row],[UP€]]*cvg[[#This Row],[FINAL QTY]]</f>
        <v>26.4069</v>
      </c>
    </row>
    <row r="406" spans="1:8" x14ac:dyDescent="0.25">
      <c r="A406" s="1" t="s">
        <v>661</v>
      </c>
      <c r="B406" s="1" t="s">
        <v>661</v>
      </c>
      <c r="C406" s="1" t="s">
        <v>41</v>
      </c>
      <c r="D406" s="1"/>
      <c r="E406" s="4">
        <v>3</v>
      </c>
      <c r="F406" s="4">
        <v>3</v>
      </c>
      <c r="G406" s="5">
        <v>92.19</v>
      </c>
      <c r="H406" s="2">
        <f>+cvg[[#This Row],[UP€]]*cvg[[#This Row],[FINAL QTY]]</f>
        <v>276.57</v>
      </c>
    </row>
    <row r="407" spans="1:8" x14ac:dyDescent="0.25">
      <c r="A407" s="1" t="s">
        <v>662</v>
      </c>
      <c r="B407" s="1" t="s">
        <v>662</v>
      </c>
      <c r="C407" s="1" t="s">
        <v>237</v>
      </c>
      <c r="D407" s="1"/>
      <c r="E407" s="4">
        <v>2</v>
      </c>
      <c r="F407" s="4">
        <v>2</v>
      </c>
      <c r="G407" s="5">
        <v>96.2</v>
      </c>
      <c r="H407" s="2">
        <f>+cvg[[#This Row],[UP€]]*cvg[[#This Row],[FINAL QTY]]</f>
        <v>192.4</v>
      </c>
    </row>
    <row r="408" spans="1:8" x14ac:dyDescent="0.25">
      <c r="A408" s="1" t="s">
        <v>663</v>
      </c>
      <c r="B408" s="1" t="s">
        <v>663</v>
      </c>
      <c r="C408" s="1" t="s">
        <v>248</v>
      </c>
      <c r="D408" s="1"/>
      <c r="E408" s="4">
        <v>1</v>
      </c>
      <c r="F408" s="4">
        <v>1</v>
      </c>
      <c r="G408" s="5">
        <v>208.65780000000001</v>
      </c>
      <c r="H408" s="2">
        <f>+cvg[[#This Row],[UP€]]*cvg[[#This Row],[FINAL QTY]]</f>
        <v>208.65780000000001</v>
      </c>
    </row>
    <row r="409" spans="1:8" x14ac:dyDescent="0.25">
      <c r="A409" s="1" t="s">
        <v>664</v>
      </c>
      <c r="B409" s="1" t="s">
        <v>664</v>
      </c>
      <c r="C409" s="1" t="s">
        <v>249</v>
      </c>
      <c r="D409" s="1"/>
      <c r="E409" s="4">
        <v>1</v>
      </c>
      <c r="F409" s="4">
        <v>1</v>
      </c>
      <c r="G409" s="5">
        <v>74.691900000000018</v>
      </c>
      <c r="H409" s="2">
        <f>+cvg[[#This Row],[UP€]]*cvg[[#This Row],[FINAL QTY]]</f>
        <v>74.691900000000018</v>
      </c>
    </row>
    <row r="410" spans="1:8" x14ac:dyDescent="0.25">
      <c r="A410" s="1" t="s">
        <v>665</v>
      </c>
      <c r="B410" s="1" t="s">
        <v>665</v>
      </c>
      <c r="C410" s="1" t="s">
        <v>165</v>
      </c>
      <c r="D410" s="1"/>
      <c r="E410" s="4">
        <v>2</v>
      </c>
      <c r="F410" s="4">
        <v>2</v>
      </c>
      <c r="G410" s="5">
        <v>5.9718</v>
      </c>
      <c r="H410" s="2">
        <f>+cvg[[#This Row],[UP€]]*cvg[[#This Row],[FINAL QTY]]</f>
        <v>11.9436</v>
      </c>
    </row>
    <row r="411" spans="1:8" x14ac:dyDescent="0.25">
      <c r="A411" s="1" t="s">
        <v>666</v>
      </c>
      <c r="B411" s="1" t="s">
        <v>666</v>
      </c>
      <c r="C411" s="1" t="s">
        <v>165</v>
      </c>
      <c r="D411" s="1"/>
      <c r="E411" s="4">
        <v>2</v>
      </c>
      <c r="F411" s="4">
        <v>2</v>
      </c>
      <c r="G411" s="5">
        <v>6.7932000000000006</v>
      </c>
      <c r="H411" s="2">
        <f>+cvg[[#This Row],[UP€]]*cvg[[#This Row],[FINAL QTY]]</f>
        <v>13.586400000000001</v>
      </c>
    </row>
    <row r="412" spans="1:8" x14ac:dyDescent="0.25">
      <c r="A412" s="1" t="s">
        <v>667</v>
      </c>
      <c r="B412" s="1" t="s">
        <v>667</v>
      </c>
      <c r="C412" s="1" t="s">
        <v>165</v>
      </c>
      <c r="D412" s="1"/>
      <c r="E412" s="4">
        <v>2</v>
      </c>
      <c r="F412" s="4">
        <v>2</v>
      </c>
      <c r="G412" s="5">
        <v>6.4602000000000013</v>
      </c>
      <c r="H412" s="2">
        <f>+cvg[[#This Row],[UP€]]*cvg[[#This Row],[FINAL QTY]]</f>
        <v>12.920400000000003</v>
      </c>
    </row>
    <row r="413" spans="1:8" x14ac:dyDescent="0.25">
      <c r="A413" s="1" t="s">
        <v>668</v>
      </c>
      <c r="B413" s="1" t="s">
        <v>668</v>
      </c>
      <c r="C413" s="1" t="s">
        <v>176</v>
      </c>
      <c r="D413" s="1"/>
      <c r="E413" s="4">
        <v>20</v>
      </c>
      <c r="F413" s="4">
        <v>20</v>
      </c>
      <c r="G413" s="5">
        <v>40.1</v>
      </c>
      <c r="H413" s="2">
        <f>+cvg[[#This Row],[UP€]]*cvg[[#This Row],[FINAL QTY]]</f>
        <v>802</v>
      </c>
    </row>
    <row r="414" spans="1:8" x14ac:dyDescent="0.25">
      <c r="A414" s="1" t="s">
        <v>669</v>
      </c>
      <c r="B414" s="1" t="s">
        <v>669</v>
      </c>
      <c r="C414" s="1" t="s">
        <v>250</v>
      </c>
      <c r="D414" s="1"/>
      <c r="E414" s="4">
        <v>2</v>
      </c>
      <c r="F414" s="4">
        <v>2</v>
      </c>
      <c r="G414" s="5">
        <v>156.066</v>
      </c>
      <c r="H414" s="2">
        <f>+cvg[[#This Row],[UP€]]*cvg[[#This Row],[FINAL QTY]]</f>
        <v>312.13200000000001</v>
      </c>
    </row>
    <row r="415" spans="1:8" x14ac:dyDescent="0.25">
      <c r="A415" s="1" t="s">
        <v>670</v>
      </c>
      <c r="B415" s="1" t="s">
        <v>670</v>
      </c>
      <c r="C415" s="1" t="s">
        <v>251</v>
      </c>
      <c r="D415" s="1"/>
      <c r="E415" s="4">
        <v>1</v>
      </c>
      <c r="F415" s="4">
        <v>1</v>
      </c>
      <c r="G415" s="5">
        <v>27.883200000000002</v>
      </c>
      <c r="H415" s="2">
        <f>+cvg[[#This Row],[UP€]]*cvg[[#This Row],[FINAL QTY]]</f>
        <v>27.883200000000002</v>
      </c>
    </row>
    <row r="416" spans="1:8" x14ac:dyDescent="0.25">
      <c r="A416" s="1" t="s">
        <v>671</v>
      </c>
      <c r="B416" s="1" t="s">
        <v>671</v>
      </c>
      <c r="C416" s="1" t="s">
        <v>105</v>
      </c>
      <c r="D416" s="1"/>
      <c r="E416" s="4">
        <v>2</v>
      </c>
      <c r="F416" s="4">
        <v>2</v>
      </c>
      <c r="G416" s="5">
        <v>43.92</v>
      </c>
      <c r="H416" s="2">
        <f>+cvg[[#This Row],[UP€]]*cvg[[#This Row],[FINAL QTY]]</f>
        <v>87.84</v>
      </c>
    </row>
    <row r="417" spans="1:8" x14ac:dyDescent="0.25">
      <c r="A417" s="1" t="s">
        <v>672</v>
      </c>
      <c r="B417" s="1" t="s">
        <v>672</v>
      </c>
      <c r="C417" s="1" t="s">
        <v>252</v>
      </c>
      <c r="D417" s="1"/>
      <c r="E417" s="4">
        <v>1</v>
      </c>
      <c r="F417" s="4">
        <v>1</v>
      </c>
      <c r="G417" s="5">
        <v>38.950000000000003</v>
      </c>
      <c r="H417" s="2">
        <f>+cvg[[#This Row],[UP€]]*cvg[[#This Row],[FINAL QTY]]</f>
        <v>38.950000000000003</v>
      </c>
    </row>
    <row r="418" spans="1:8" x14ac:dyDescent="0.25">
      <c r="A418" s="1" t="s">
        <v>693</v>
      </c>
      <c r="B418" s="1"/>
      <c r="C418" s="1"/>
      <c r="D418" s="1" t="s">
        <v>702</v>
      </c>
      <c r="E418" s="4">
        <v>2</v>
      </c>
      <c r="F418" s="4">
        <v>2</v>
      </c>
      <c r="H418" s="2"/>
    </row>
    <row r="419" spans="1:8" x14ac:dyDescent="0.25">
      <c r="A419" s="1" t="s">
        <v>694</v>
      </c>
      <c r="B419" s="1"/>
      <c r="C419" s="1"/>
      <c r="D419" s="1" t="s">
        <v>702</v>
      </c>
      <c r="E419" s="4">
        <v>1</v>
      </c>
      <c r="F419" s="4">
        <v>1</v>
      </c>
      <c r="H419" s="2"/>
    </row>
    <row r="420" spans="1:8" x14ac:dyDescent="0.25">
      <c r="A420" s="1" t="s">
        <v>695</v>
      </c>
      <c r="B420" s="1"/>
      <c r="C420" s="1"/>
      <c r="D420" s="1" t="s">
        <v>702</v>
      </c>
      <c r="E420" s="4">
        <v>2</v>
      </c>
      <c r="F420" s="4">
        <v>2</v>
      </c>
      <c r="H420" s="2"/>
    </row>
    <row r="421" spans="1:8" x14ac:dyDescent="0.25">
      <c r="A421" s="1" t="s">
        <v>696</v>
      </c>
      <c r="B421" s="1"/>
      <c r="C421" s="1"/>
      <c r="D421" s="1" t="s">
        <v>702</v>
      </c>
      <c r="E421" s="4">
        <v>2</v>
      </c>
      <c r="F421" s="4">
        <v>2</v>
      </c>
      <c r="H421" s="2"/>
    </row>
    <row r="422" spans="1:8" x14ac:dyDescent="0.25">
      <c r="A422" s="1" t="s">
        <v>697</v>
      </c>
      <c r="B422" s="1"/>
      <c r="C422" s="1"/>
      <c r="D422" s="1" t="s">
        <v>702</v>
      </c>
      <c r="E422" s="4">
        <v>2</v>
      </c>
      <c r="F422" s="4">
        <v>2</v>
      </c>
      <c r="H422" s="2"/>
    </row>
    <row r="423" spans="1:8" x14ac:dyDescent="0.25">
      <c r="A423" s="1" t="s">
        <v>698</v>
      </c>
      <c r="B423" s="1"/>
      <c r="C423" s="1"/>
      <c r="D423" s="1" t="s">
        <v>702</v>
      </c>
      <c r="E423" s="4">
        <v>1</v>
      </c>
      <c r="F423" s="4">
        <v>1</v>
      </c>
      <c r="H423" s="2"/>
    </row>
    <row r="424" spans="1:8" x14ac:dyDescent="0.25">
      <c r="A424" s="1" t="s">
        <v>699</v>
      </c>
      <c r="B424" s="1"/>
      <c r="C424" s="1"/>
      <c r="D424" s="1" t="s">
        <v>702</v>
      </c>
      <c r="E424" s="4">
        <v>1</v>
      </c>
      <c r="F424" s="4">
        <v>1</v>
      </c>
      <c r="H424" s="2"/>
    </row>
    <row r="425" spans="1:8" x14ac:dyDescent="0.25">
      <c r="A425" s="1" t="s">
        <v>700</v>
      </c>
      <c r="B425" s="1"/>
      <c r="C425" s="1"/>
      <c r="D425" s="1" t="s">
        <v>702</v>
      </c>
      <c r="E425" s="4">
        <v>1</v>
      </c>
      <c r="F425" s="4">
        <v>1</v>
      </c>
      <c r="H425" s="2"/>
    </row>
    <row r="426" spans="1:8" x14ac:dyDescent="0.25">
      <c r="A426" s="1" t="s">
        <v>673</v>
      </c>
      <c r="B426" s="1" t="s">
        <v>673</v>
      </c>
      <c r="C426" s="1" t="s">
        <v>253</v>
      </c>
      <c r="D426" s="1"/>
      <c r="E426" s="4">
        <v>1</v>
      </c>
      <c r="F426" s="4">
        <v>1</v>
      </c>
      <c r="G426" s="5">
        <v>99.46</v>
      </c>
      <c r="H426" s="2">
        <f>+cvg[[#This Row],[UP€]]*cvg[[#This Row],[FINAL QTY]]</f>
        <v>99.46</v>
      </c>
    </row>
    <row r="427" spans="1:8" x14ac:dyDescent="0.25">
      <c r="A427" s="1" t="s">
        <v>674</v>
      </c>
      <c r="B427" s="1" t="s">
        <v>674</v>
      </c>
      <c r="C427" s="1" t="s">
        <v>36</v>
      </c>
      <c r="D427" s="1"/>
      <c r="E427" s="4">
        <v>1</v>
      </c>
      <c r="F427" s="4">
        <v>1</v>
      </c>
      <c r="G427" s="5">
        <v>13.06</v>
      </c>
      <c r="H427" s="2">
        <f>+cvg[[#This Row],[UP€]]*cvg[[#This Row],[FINAL QTY]]</f>
        <v>13.06</v>
      </c>
    </row>
    <row r="428" spans="1:8" x14ac:dyDescent="0.25">
      <c r="A428" s="1" t="s">
        <v>675</v>
      </c>
      <c r="B428" s="1" t="s">
        <v>675</v>
      </c>
      <c r="C428" s="1" t="s">
        <v>254</v>
      </c>
      <c r="D428" s="1"/>
      <c r="E428" s="4">
        <v>2</v>
      </c>
      <c r="F428" s="4">
        <v>2</v>
      </c>
      <c r="G428" s="5">
        <v>15.39</v>
      </c>
      <c r="H428" s="2">
        <f>+cvg[[#This Row],[UP€]]*cvg[[#This Row],[FINAL QTY]]</f>
        <v>30.78</v>
      </c>
    </row>
    <row r="429" spans="1:8" x14ac:dyDescent="0.25">
      <c r="A429" s="1" t="s">
        <v>676</v>
      </c>
      <c r="B429" s="1" t="s">
        <v>676</v>
      </c>
      <c r="C429" s="1" t="s">
        <v>255</v>
      </c>
      <c r="D429" s="1"/>
      <c r="E429" s="4">
        <v>1</v>
      </c>
      <c r="F429" s="4">
        <v>1</v>
      </c>
      <c r="G429" s="5">
        <v>30.4</v>
      </c>
      <c r="H429" s="2">
        <f>+cvg[[#This Row],[UP€]]*cvg[[#This Row],[FINAL QTY]]</f>
        <v>30.4</v>
      </c>
    </row>
    <row r="430" spans="1:8" x14ac:dyDescent="0.25">
      <c r="A430" s="1" t="s">
        <v>677</v>
      </c>
      <c r="B430" s="1" t="s">
        <v>677</v>
      </c>
      <c r="C430" s="1" t="s">
        <v>256</v>
      </c>
      <c r="D430" s="1"/>
      <c r="E430" s="4">
        <v>3</v>
      </c>
      <c r="F430" s="4">
        <v>3</v>
      </c>
      <c r="G430" s="5">
        <v>55.89</v>
      </c>
      <c r="H430" s="2">
        <f>+cvg[[#This Row],[UP€]]*cvg[[#This Row],[FINAL QTY]]</f>
        <v>167.67000000000002</v>
      </c>
    </row>
    <row r="431" spans="1:8" x14ac:dyDescent="0.25">
      <c r="A431" s="1" t="s">
        <v>678</v>
      </c>
      <c r="B431" s="1" t="s">
        <v>678</v>
      </c>
      <c r="C431" s="1" t="s">
        <v>257</v>
      </c>
      <c r="D431" s="1"/>
      <c r="E431" s="4">
        <v>1</v>
      </c>
      <c r="F431" s="4">
        <v>1</v>
      </c>
      <c r="G431" s="5">
        <v>77.97</v>
      </c>
      <c r="H431" s="2">
        <f>+cvg[[#This Row],[UP€]]*cvg[[#This Row],[FINAL QTY]]</f>
        <v>77.97</v>
      </c>
    </row>
    <row r="432" spans="1:8" x14ac:dyDescent="0.25">
      <c r="A432" s="1" t="s">
        <v>679</v>
      </c>
      <c r="B432" s="1" t="s">
        <v>679</v>
      </c>
      <c r="C432" s="1" t="s">
        <v>258</v>
      </c>
      <c r="D432" s="1"/>
      <c r="E432" s="4">
        <v>1</v>
      </c>
      <c r="F432" s="4">
        <v>1</v>
      </c>
      <c r="G432" s="5">
        <v>23.57</v>
      </c>
      <c r="H432" s="2">
        <f>+cvg[[#This Row],[UP€]]*cvg[[#This Row],[FINAL QTY]]</f>
        <v>23.57</v>
      </c>
    </row>
    <row r="433" spans="1:8" x14ac:dyDescent="0.25">
      <c r="A433" s="1" t="s">
        <v>680</v>
      </c>
      <c r="B433" s="1" t="s">
        <v>680</v>
      </c>
      <c r="C433" s="1" t="s">
        <v>259</v>
      </c>
      <c r="D433" s="1"/>
      <c r="E433" s="4">
        <v>2</v>
      </c>
      <c r="F433" s="4">
        <v>2</v>
      </c>
      <c r="G433" s="5">
        <v>8.66</v>
      </c>
      <c r="H433" s="2">
        <f>+cvg[[#This Row],[UP€]]*cvg[[#This Row],[FINAL QTY]]</f>
        <v>17.32</v>
      </c>
    </row>
    <row r="434" spans="1:8" x14ac:dyDescent="0.25">
      <c r="A434" s="1" t="s">
        <v>681</v>
      </c>
      <c r="B434" s="1" t="s">
        <v>681</v>
      </c>
      <c r="C434" s="1" t="s">
        <v>260</v>
      </c>
      <c r="D434" s="1"/>
      <c r="E434" s="4">
        <v>1</v>
      </c>
      <c r="F434" s="4">
        <v>1</v>
      </c>
      <c r="G434" s="5">
        <v>32.72</v>
      </c>
      <c r="H434" s="2">
        <f>+cvg[[#This Row],[UP€]]*cvg[[#This Row],[FINAL QTY]]</f>
        <v>32.72</v>
      </c>
    </row>
    <row r="435" spans="1:8" x14ac:dyDescent="0.25">
      <c r="A435" s="1" t="s">
        <v>682</v>
      </c>
      <c r="B435" s="1" t="s">
        <v>682</v>
      </c>
      <c r="C435" s="1" t="s">
        <v>261</v>
      </c>
      <c r="D435" s="1"/>
      <c r="E435" s="4">
        <v>1</v>
      </c>
      <c r="F435" s="4">
        <v>1</v>
      </c>
      <c r="G435" s="5">
        <v>87.257100000000008</v>
      </c>
      <c r="H435" s="2">
        <f>+cvg[[#This Row],[UP€]]*cvg[[#This Row],[FINAL QTY]]</f>
        <v>87.257100000000008</v>
      </c>
    </row>
    <row r="436" spans="1:8" x14ac:dyDescent="0.25">
      <c r="A436" s="1" t="s">
        <v>683</v>
      </c>
      <c r="B436" s="1" t="s">
        <v>683</v>
      </c>
      <c r="C436" s="1" t="s">
        <v>261</v>
      </c>
      <c r="D436" s="1"/>
      <c r="E436" s="4">
        <v>1</v>
      </c>
      <c r="F436" s="4">
        <v>1</v>
      </c>
      <c r="G436" s="5">
        <v>87.257100000000008</v>
      </c>
      <c r="H436" s="2">
        <f>+cvg[[#This Row],[UP€]]*cvg[[#This Row],[FINAL QTY]]</f>
        <v>87.257100000000008</v>
      </c>
    </row>
    <row r="437" spans="1:8" x14ac:dyDescent="0.25">
      <c r="A437" s="1"/>
      <c r="B437" s="1"/>
      <c r="C437" s="1"/>
      <c r="D437" s="1"/>
      <c r="H437" s="5">
        <f>SUBTOTAL(109,cvg.LINQUOATI)</f>
        <v>58996.156200000027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8</vt:i4>
      </vt:variant>
    </vt:vector>
  </HeadingPairs>
  <TitlesOfParts>
    <vt:vector size="11" baseType="lpstr">
      <vt:lpstr>Sheet1</vt:lpstr>
      <vt:lpstr>Sheet2</vt:lpstr>
      <vt:lpstr>Sheet3</vt:lpstr>
      <vt:lpstr>Sheet1!cvg.GROPRI</vt:lpstr>
      <vt:lpstr>Sheet1!cvg.ITMDES</vt:lpstr>
      <vt:lpstr>Sheet1!cvg.ITMREF</vt:lpstr>
      <vt:lpstr>Sheet1!cvg.LINQUOATI</vt:lpstr>
      <vt:lpstr>Sheet1!cvg.QTY</vt:lpstr>
      <vt:lpstr>Sheet1!cvg.YITMREFIMP</vt:lpstr>
      <vt:lpstr>Sheet1!cvg.YQTEDEM</vt:lpstr>
      <vt:lpstr>Sheet1!cvg.ZITMSTA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Zoeka Meva'a</dc:creator>
  <cp:lastModifiedBy>Zoeka Meva'a</cp:lastModifiedBy>
  <dcterms:created xsi:type="dcterms:W3CDTF">2012-05-16T07:58:45Z</dcterms:created>
  <dcterms:modified xsi:type="dcterms:W3CDTF">2024-11-12T10:43:31Z</dcterms:modified>
</cp:coreProperties>
</file>